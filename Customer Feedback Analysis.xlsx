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timelines/timeline1.xml" ContentType="application/vnd.ms-excel.timelin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pivotTables/pivotTable15.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7.xml" ContentType="application/vnd.openxmlformats-officedocument.spreadsheetml.pivotTable+xml"/>
  <Override PartName="/xl/tables/table1.xml" ContentType="application/vnd.openxmlformats-officedocument.spreadsheetml.table+xml"/>
  <Override PartName="/xl/drawings/drawing10.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
    </mc:Choice>
  </mc:AlternateContent>
  <xr:revisionPtr revIDLastSave="0" documentId="8_{FE567120-7952-45D8-BA04-37ADAA25ACCF}" xr6:coauthVersionLast="36" xr6:coauthVersionMax="36" xr10:uidLastSave="{00000000-0000-0000-0000-000000000000}"/>
  <bookViews>
    <workbookView xWindow="-108" yWindow="-108" windowWidth="23256" windowHeight="12576" firstSheet="6" activeTab="19" xr2:uid="{D9CB177C-B2DA-48D9-805F-82DCD18F7D38}"/>
  </bookViews>
  <sheets>
    <sheet name="2" sheetId="2" r:id="rId1"/>
    <sheet name="3" sheetId="3" r:id="rId2"/>
    <sheet name="4-A" sheetId="20" r:id="rId3"/>
    <sheet name="5-B" sheetId="14" r:id="rId4"/>
    <sheet name="5-C" sheetId="15" r:id="rId5"/>
    <sheet name="6-A" sheetId="4" r:id="rId6"/>
    <sheet name="6-B" sheetId="5" r:id="rId7"/>
    <sheet name="6-C" sheetId="6" r:id="rId8"/>
    <sheet name="7-A" sheetId="7" r:id="rId9"/>
    <sheet name="7-B" sheetId="16" r:id="rId10"/>
    <sheet name="7--b" sheetId="17" r:id="rId11"/>
    <sheet name="8-A" sheetId="8" r:id="rId12"/>
    <sheet name="8-B" sheetId="9" r:id="rId13"/>
    <sheet name="8-C" sheetId="11" r:id="rId14"/>
    <sheet name="9-A" sheetId="12" r:id="rId15"/>
    <sheet name="9-B" sheetId="18" r:id="rId16"/>
    <sheet name="9-C" sheetId="19" r:id="rId17"/>
    <sheet name="10" sheetId="21" r:id="rId18"/>
    <sheet name="Sheet2" sheetId="22" r:id="rId19"/>
    <sheet name="Sheet1" sheetId="1" r:id="rId20"/>
  </sheets>
  <definedNames>
    <definedName name="_xlchart.v1.0" hidden="1">'2'!$G$8:$G$12</definedName>
    <definedName name="_xlchart.v1.1" hidden="1">'2'!$H$8:$H$12</definedName>
    <definedName name="_xlchart.v1.2" hidden="1">'2'!$I$8:$I$12</definedName>
    <definedName name="_xlchart.v1.3" hidden="1">'6-B'!$F$3:$F$98</definedName>
    <definedName name="_xlchart.v1.4" hidden="1">'6-B'!$G$3:$G$98</definedName>
    <definedName name="_xlchart.v1.5" hidden="1">'2'!$G$8:$G$12</definedName>
    <definedName name="_xlchart.v1.6" hidden="1">'2'!$H$8:$H$12</definedName>
    <definedName name="_xlchart.v1.7" hidden="1">'2'!$I$8:$I$12</definedName>
    <definedName name="_xlchart.v1.8" hidden="1">'6-B'!$F$3:$F$98</definedName>
    <definedName name="_xlchart.v1.9" hidden="1">'6-B'!$G$3:$G$98</definedName>
    <definedName name="NativeTimeline_Date">#N/A</definedName>
    <definedName name="Slicer_Service_Rating">#N/A</definedName>
  </definedNames>
  <calcPr calcId="191029"/>
  <pivotCaches>
    <pivotCache cacheId="0" r:id="rId21"/>
  </pivotCaches>
  <extLs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6" i="1" l="1"/>
  <c r="J2" i="1" l="1"/>
  <c r="P7" i="1"/>
  <c r="I2" i="1"/>
  <c r="H2" i="1"/>
  <c r="G2" i="1"/>
  <c r="P4" i="1"/>
  <c r="P5" i="1"/>
  <c r="P3" i="1"/>
  <c r="P9" i="1"/>
  <c r="P8" i="1"/>
</calcChain>
</file>

<file path=xl/sharedStrings.xml><?xml version="1.0" encoding="utf-8"?>
<sst xmlns="http://schemas.openxmlformats.org/spreadsheetml/2006/main" count="411" uniqueCount="136">
  <si>
    <t>Customer ID</t>
  </si>
  <si>
    <t>Date</t>
  </si>
  <si>
    <t>Service Rating</t>
  </si>
  <si>
    <t>Feedback Category</t>
  </si>
  <si>
    <t>Response Time (hours)</t>
  </si>
  <si>
    <t>Issue Resolved</t>
  </si>
  <si>
    <t>C1000</t>
  </si>
  <si>
    <t>Website</t>
  </si>
  <si>
    <t>No</t>
  </si>
  <si>
    <t>C1001</t>
  </si>
  <si>
    <t>Billing</t>
  </si>
  <si>
    <t>C1002</t>
  </si>
  <si>
    <t>Service</t>
  </si>
  <si>
    <t>Yes</t>
  </si>
  <si>
    <t>C1003</t>
  </si>
  <si>
    <t>Product</t>
  </si>
  <si>
    <t>C1004</t>
  </si>
  <si>
    <t>C1005</t>
  </si>
  <si>
    <t>C1006</t>
  </si>
  <si>
    <t>C1007</t>
  </si>
  <si>
    <t>C1008</t>
  </si>
  <si>
    <t>C1009</t>
  </si>
  <si>
    <t>C1010</t>
  </si>
  <si>
    <t>C1011</t>
  </si>
  <si>
    <t>C1012</t>
  </si>
  <si>
    <t>C1013</t>
  </si>
  <si>
    <t>C1014</t>
  </si>
  <si>
    <t>C1015</t>
  </si>
  <si>
    <t>C1016</t>
  </si>
  <si>
    <t>C1017</t>
  </si>
  <si>
    <t>Other</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</si>
  <si>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</si>
  <si>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</si>
  <si>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</si>
  <si>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</si>
  <si>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</si>
  <si>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</si>
  <si>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</si>
  <si>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</si>
  <si>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</si>
  <si>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</si>
  <si>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</si>
  <si>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</si>
  <si>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</si>
  <si>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</si>
  <si>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</si>
  <si>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</si>
  <si>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</si>
  <si>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</si>
  <si>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</si>
  <si>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</si>
  <si>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</si>
  <si>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</si>
  <si>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</si>
  <si>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</si>
  <si>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</si>
  <si>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</si>
  <si>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</si>
  <si>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</si>
  <si>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</si>
  <si>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</si>
  <si>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</si>
  <si>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</si>
  <si>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</si>
  <si>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</si>
  <si>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</si>
  <si>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</si>
  <si>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</si>
  <si>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</si>
  <si>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</si>
  <si>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</si>
  <si>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</si>
  <si>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</si>
  <si>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</si>
  <si>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</si>
  <si>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</si>
  <si>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</si>
  <si>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</si>
  <si>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</si>
  <si>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</si>
  <si>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</si>
  <si>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</si>
  <si>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</si>
  <si>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</si>
  <si>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</si>
  <si>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</si>
  <si>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</si>
  <si>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</si>
  <si>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</si>
  <si>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</si>
  <si>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</si>
  <si>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</si>
  <si>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</si>
  <si>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</si>
  <si>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</si>
  <si>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</si>
  <si>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</si>
  <si>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</si>
  <si>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</si>
  <si>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</si>
  <si>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</si>
  <si>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</si>
  <si>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</si>
  <si>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</si>
  <si>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</si>
  <si>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</si>
  <si>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</si>
  <si>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</si>
  <si>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</si>
  <si>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</si>
  <si>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</si>
  <si>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</si>
  <si>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</si>
  <si>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PROMOTERS</t>
  </si>
  <si>
    <t>DETRACTORS</t>
  </si>
  <si>
    <t>NPS</t>
  </si>
  <si>
    <t>RESOLUTION RATE</t>
  </si>
  <si>
    <t xml:space="preserve">OVERALL SATISFACTION SCORE   </t>
  </si>
  <si>
    <t>AVERAGE RESPONSE TIME</t>
  </si>
  <si>
    <t>FEEDBACK COUNT</t>
  </si>
  <si>
    <t>Row Labels</t>
  </si>
  <si>
    <t>Grand Total</t>
  </si>
  <si>
    <t>Count of Feedback Category</t>
  </si>
  <si>
    <t>PERCENTAGE of Feedback Category</t>
  </si>
  <si>
    <t>Sum of Response Time (hours)</t>
  </si>
  <si>
    <t>Average of Response Time (hours)</t>
  </si>
  <si>
    <t>Count of Months (Date)</t>
  </si>
  <si>
    <t>Count of Date</t>
  </si>
  <si>
    <t>Count of Service Rating</t>
  </si>
  <si>
    <t>percentage of Service Rating</t>
  </si>
  <si>
    <t>Count of Issue Resolved</t>
  </si>
  <si>
    <t>Count of Days (Date)</t>
  </si>
  <si>
    <t>service rating</t>
  </si>
  <si>
    <t>response time</t>
  </si>
  <si>
    <t>FEEDBACK CATEGORY</t>
  </si>
  <si>
    <t>SERVICE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</si>
</sst>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Calibri"/>
    </font>
    <font>
      <sz val="11"/>
      <color theme="1"/>
      <name val="Calibri"/>
    </font>
  </fonts>
  <fills count="2">
    <fill>
      <patternFill patternType="none"/>
    </fill>
    <fill>
      <patternFill patternType="gray125"/>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center"/>
    </xf>
    <xf numFmtId="0" fontId="2" fillId="0" borderId="4" xfId="0" applyFont="1" applyBorder="1" applyAlignment="1">
      <alignment wrapText="1"/>
    </xf>
    <xf numFmtId="22" fontId="2" fillId="0" borderId="4" xfId="0" applyNumberFormat="1" applyFont="1" applyBorder="1" applyAlignment="1">
      <alignment horizontal="right" wrapText="1"/>
    </xf>
    <xf numFmtId="0" fontId="2" fillId="0" borderId="4" xfId="0" applyFont="1" applyBorder="1" applyAlignment="1">
      <alignment horizontal="right" wrapText="1"/>
    </xf>
    <xf numFmtId="0" fontId="1" fillId="0" borderId="5" xfId="0" applyFont="1" applyBorder="1" applyAlignment="1">
      <alignment horizontal="center" vertical="top" wrapText="1"/>
    </xf>
    <xf numFmtId="0" fontId="1" fillId="0" borderId="0" xfId="0" applyFont="1" applyAlignment="1">
      <alignment horizontal="center" vertical="top" wrapText="1"/>
    </xf>
    <xf numFmtId="0" fontId="0" fillId="0" borderId="0" xfId="0" pivotButton="1"/>
    <xf numFmtId="0" fontId="0" fillId="0" borderId="0" xfId="0" applyAlignment="1">
      <alignment horizontal="left"/>
    </xf>
    <xf numFmtId="10" fontId="0" fillId="0" borderId="0" xfId="0" applyNumberFormat="1"/>
    <xf numFmtId="22" fontId="0" fillId="0" borderId="0" xfId="0" applyNumberFormat="1" applyAlignment="1">
      <alignment horizontal="left"/>
    </xf>
    <xf numFmtId="0" fontId="0" fillId="0" borderId="6" xfId="0" applyBorder="1" applyAlignment="1">
      <alignment horizontal="left"/>
    </xf>
    <xf numFmtId="0" fontId="0" fillId="0" borderId="6" xfId="0" applyBorder="1"/>
    <xf numFmtId="10" fontId="0" fillId="0" borderId="6" xfId="0" applyNumberForma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NumberFormat="1"/>
  </cellXfs>
  <cellStyles count="1">
    <cellStyle name="Normal" xfId="0" builtinId="0"/>
  </cellStyles>
  <dxfs count="2">
    <dxf>
      <numFmt numFmtId="0" formatCode="General"/>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1.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Analysis.xlsx]2!PivotTable1</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'2'!$B$3</c:f>
              <c:strCache>
                <c:ptCount val="1"/>
                <c:pt idx="0">
                  <c:v>Count of Service Rating</c:v>
                </c:pt>
              </c:strCache>
            </c:strRef>
          </c:tx>
          <c:spPr>
            <a:solidFill>
              <a:schemeClr val="accent1"/>
            </a:solidFill>
            <a:ln>
              <a:noFill/>
            </a:ln>
            <a:effectLst/>
          </c:spPr>
          <c:invertIfNegative val="0"/>
          <c:cat>
            <c:strRef>
              <c:f>'2'!$A$4:$A$9</c:f>
              <c:strCache>
                <c:ptCount val="5"/>
                <c:pt idx="0">
                  <c:v>1</c:v>
                </c:pt>
                <c:pt idx="1">
                  <c:v>2</c:v>
                </c:pt>
                <c:pt idx="2">
                  <c:v>3</c:v>
                </c:pt>
                <c:pt idx="3">
                  <c:v>4</c:v>
                </c:pt>
                <c:pt idx="4">
                  <c:v>5</c:v>
                </c:pt>
              </c:strCache>
            </c:strRef>
          </c:cat>
          <c:val>
            <c:numRef>
              <c:f>'2'!$B$4:$B$9</c:f>
              <c:numCache>
                <c:formatCode>General</c:formatCode>
                <c:ptCount val="5"/>
                <c:pt idx="0">
                  <c:v>22</c:v>
                </c:pt>
                <c:pt idx="1">
                  <c:v>16</c:v>
                </c:pt>
                <c:pt idx="2">
                  <c:v>19</c:v>
                </c:pt>
                <c:pt idx="3">
                  <c:v>20</c:v>
                </c:pt>
                <c:pt idx="4">
                  <c:v>23</c:v>
                </c:pt>
              </c:numCache>
            </c:numRef>
          </c:val>
          <c:extLst>
            <c:ext xmlns:c16="http://schemas.microsoft.com/office/drawing/2014/chart" uri="{C3380CC4-5D6E-409C-BE32-E72D297353CC}">
              <c16:uniqueId val="{00000000-2B2D-4EB0-A9A3-79789258284B}"/>
            </c:ext>
          </c:extLst>
        </c:ser>
        <c:ser>
          <c:idx val="1"/>
          <c:order val="1"/>
          <c:tx>
            <c:strRef>
              <c:f>'2'!$C$3</c:f>
              <c:strCache>
                <c:ptCount val="1"/>
                <c:pt idx="0">
                  <c:v>percentage of Service Rating</c:v>
                </c:pt>
              </c:strCache>
            </c:strRef>
          </c:tx>
          <c:spPr>
            <a:solidFill>
              <a:schemeClr val="accent2"/>
            </a:solidFill>
            <a:ln>
              <a:noFill/>
            </a:ln>
            <a:effectLst/>
          </c:spPr>
          <c:invertIfNegative val="0"/>
          <c:cat>
            <c:strRef>
              <c:f>'2'!$A$4:$A$9</c:f>
              <c:strCache>
                <c:ptCount val="5"/>
                <c:pt idx="0">
                  <c:v>1</c:v>
                </c:pt>
                <c:pt idx="1">
                  <c:v>2</c:v>
                </c:pt>
                <c:pt idx="2">
                  <c:v>3</c:v>
                </c:pt>
                <c:pt idx="3">
                  <c:v>4</c:v>
                </c:pt>
                <c:pt idx="4">
                  <c:v>5</c:v>
                </c:pt>
              </c:strCache>
            </c:strRef>
          </c:cat>
          <c:val>
            <c:numRef>
              <c:f>'2'!$C$4:$C$9</c:f>
              <c:numCache>
                <c:formatCode>0.00%</c:formatCode>
                <c:ptCount val="5"/>
                <c:pt idx="0">
                  <c:v>7.1895424836601302E-2</c:v>
                </c:pt>
                <c:pt idx="1">
                  <c:v>0.10457516339869281</c:v>
                </c:pt>
                <c:pt idx="2">
                  <c:v>0.18627450980392157</c:v>
                </c:pt>
                <c:pt idx="3">
                  <c:v>0.26143790849673204</c:v>
                </c:pt>
                <c:pt idx="4">
                  <c:v>0.37581699346405228</c:v>
                </c:pt>
              </c:numCache>
            </c:numRef>
          </c:val>
          <c:extLst>
            <c:ext xmlns:c16="http://schemas.microsoft.com/office/drawing/2014/chart" uri="{C3380CC4-5D6E-409C-BE32-E72D297353CC}">
              <c16:uniqueId val="{00000001-2B2D-4EB0-A9A3-79789258284B}"/>
            </c:ext>
          </c:extLst>
        </c:ser>
        <c:dLbls>
          <c:showLegendKey val="0"/>
          <c:showVal val="0"/>
          <c:showCatName val="0"/>
          <c:showSerName val="0"/>
          <c:showPercent val="0"/>
          <c:showBubbleSize val="0"/>
        </c:dLbls>
        <c:gapWidth val="219"/>
        <c:overlap val="-27"/>
        <c:axId val="1388611248"/>
        <c:axId val="1189114640"/>
      </c:barChart>
      <c:catAx>
        <c:axId val="138861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14640"/>
        <c:crosses val="autoZero"/>
        <c:auto val="1"/>
        <c:lblAlgn val="ctr"/>
        <c:lblOffset val="100"/>
        <c:noMultiLvlLbl val="0"/>
      </c:catAx>
      <c:valAx>
        <c:axId val="118911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61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37-4A4A-8309-E460AB41B0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37-4A4A-8309-E460AB41B0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37-4A4A-8309-E460AB41B0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37-4A4A-8309-E460AB41B0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437-4A4A-8309-E460AB41B03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'3'!$A$4:$A$9</c:f>
              <c:strCache>
                <c:ptCount val="5"/>
                <c:pt idx="0">
                  <c:v>Billing</c:v>
                </c:pt>
                <c:pt idx="1">
                  <c:v>Other</c:v>
                </c:pt>
                <c:pt idx="2">
                  <c:v>Product</c:v>
                </c:pt>
                <c:pt idx="3">
                  <c:v>Service</c:v>
                </c:pt>
                <c:pt idx="4">
                  <c:v>Website</c:v>
                </c:pt>
              </c:strCache>
            </c:strRef>
          </c:cat>
          <c:val>
            <c:numRef>
              <c:f>'3'!$B$4:$B$9</c:f>
              <c:numCache>
                <c:formatCode>0.00%</c:formatCode>
                <c:ptCount val="5"/>
                <c:pt idx="0">
                  <c:v>0.22</c:v>
                </c:pt>
                <c:pt idx="1">
                  <c:v>0.18</c:v>
                </c:pt>
                <c:pt idx="2">
                  <c:v>0.24</c:v>
                </c:pt>
                <c:pt idx="3">
                  <c:v>0.19</c:v>
                </c:pt>
                <c:pt idx="4">
                  <c:v>0.17</c:v>
                </c:pt>
              </c:numCache>
            </c:numRef>
          </c:val>
          <c:extLst>
            <c:ext xmlns:c16="http://schemas.microsoft.com/office/drawing/2014/chart" uri="{C3380CC4-5D6E-409C-BE32-E72D297353CC}">
              <c16:uniqueId val="{00000000-B095-48E3-89CF-D01CE13B6D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Analysis.xlsx]3!PivotTable2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37-44E9-A3BA-3CC67A71B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37-44E9-A3BA-3CC67A71B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37-44E9-A3BA-3CC67A71B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37-44E9-A3BA-3CC67A71B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337-44E9-A3BA-3CC67A71B94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'3'!$A$4:$A$9</c:f>
              <c:strCache>
                <c:ptCount val="5"/>
                <c:pt idx="0">
                  <c:v>Billing</c:v>
                </c:pt>
                <c:pt idx="1">
                  <c:v>Other</c:v>
                </c:pt>
                <c:pt idx="2">
                  <c:v>Product</c:v>
                </c:pt>
                <c:pt idx="3">
                  <c:v>Service</c:v>
                </c:pt>
                <c:pt idx="4">
                  <c:v>Website</c:v>
                </c:pt>
              </c:strCache>
            </c:strRef>
          </c:cat>
          <c:val>
            <c:numRef>
              <c:f>'3'!$B$4:$B$9</c:f>
              <c:numCache>
                <c:formatCode>0.00%</c:formatCode>
                <c:ptCount val="5"/>
                <c:pt idx="0">
                  <c:v>0.22</c:v>
                </c:pt>
                <c:pt idx="1">
                  <c:v>0.18</c:v>
                </c:pt>
                <c:pt idx="2">
                  <c:v>0.24</c:v>
                </c:pt>
                <c:pt idx="3">
                  <c:v>0.19</c:v>
                </c:pt>
                <c:pt idx="4">
                  <c:v>0.17</c:v>
                </c:pt>
              </c:numCache>
            </c:numRef>
          </c:val>
          <c:extLst>
            <c:ext xmlns:c16="http://schemas.microsoft.com/office/drawing/2014/chart" uri="{C3380CC4-5D6E-409C-BE32-E72D297353CC}">
              <c16:uniqueId val="{00000000-E0D0-40B8-8619-FFA076EA2B7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Analysis.xlsx]5-B!PivotTable3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'5-B'!$B$3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5F-43F8-84D0-BF45B3A849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5F-43F8-84D0-BF45B3A8493B}"/>
              </c:ext>
            </c:extLst>
          </c:dPt>
          <c:cat>
            <c:strRef>
              <c:f>'5-B'!$A$4:$A$6</c:f>
              <c:strCache>
                <c:ptCount val="2"/>
                <c:pt idx="0">
                  <c:v>No</c:v>
                </c:pt>
                <c:pt idx="1">
                  <c:v>Yes</c:v>
                </c:pt>
              </c:strCache>
            </c:strRef>
          </c:cat>
          <c:val>
            <c:numRef>
              <c:f>'5-B'!$B$4:$B$6</c:f>
              <c:numCache>
                <c:formatCode>General</c:formatCode>
                <c:ptCount val="2"/>
                <c:pt idx="0">
                  <c:v>20</c:v>
                </c:pt>
                <c:pt idx="1">
                  <c:v>80</c:v>
                </c:pt>
              </c:numCache>
            </c:numRef>
          </c:val>
          <c:extLst>
            <c:ext xmlns:c16="http://schemas.microsoft.com/office/drawing/2014/chart" uri="{C3380CC4-5D6E-409C-BE32-E72D297353CC}">
              <c16:uniqueId val="{00000000-1D00-44B0-8C6B-B980D2C1FA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Analysis.xlsx]6-C!PivotTable5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'6-C'!$B$3</c:f>
              <c:strCache>
                <c:ptCount val="1"/>
                <c:pt idx="0">
                  <c:v>Total</c:v>
                </c:pt>
              </c:strCache>
            </c:strRef>
          </c:tx>
          <c:spPr>
            <a:solidFill>
              <a:schemeClr val="accent1"/>
            </a:solidFill>
            <a:ln>
              <a:noFill/>
            </a:ln>
            <a:effectLst/>
          </c:spPr>
          <c:invertIfNegative val="0"/>
          <c:cat>
            <c:strRef>
              <c:f>'6-C'!$A$4:$A$9</c:f>
              <c:strCache>
                <c:ptCount val="5"/>
                <c:pt idx="0">
                  <c:v>1</c:v>
                </c:pt>
                <c:pt idx="1">
                  <c:v>2</c:v>
                </c:pt>
                <c:pt idx="2">
                  <c:v>3</c:v>
                </c:pt>
                <c:pt idx="3">
                  <c:v>4</c:v>
                </c:pt>
                <c:pt idx="4">
                  <c:v>5</c:v>
                </c:pt>
              </c:strCache>
            </c:strRef>
          </c:cat>
          <c:val>
            <c:numRef>
              <c:f>'6-C'!$B$4:$B$9</c:f>
              <c:numCache>
                <c:formatCode>General</c:formatCode>
                <c:ptCount val="5"/>
                <c:pt idx="0">
                  <c:v>789.69999999999982</c:v>
                </c:pt>
                <c:pt idx="1">
                  <c:v>656.5</c:v>
                </c:pt>
                <c:pt idx="2">
                  <c:v>835.1</c:v>
                </c:pt>
                <c:pt idx="3">
                  <c:v>719.4</c:v>
                </c:pt>
                <c:pt idx="4">
                  <c:v>811.8</c:v>
                </c:pt>
              </c:numCache>
            </c:numRef>
          </c:val>
          <c:extLst>
            <c:ext xmlns:c16="http://schemas.microsoft.com/office/drawing/2014/chart" uri="{C3380CC4-5D6E-409C-BE32-E72D297353CC}">
              <c16:uniqueId val="{00000000-87EB-4617-A62C-0F72F4B70D65}"/>
            </c:ext>
          </c:extLst>
        </c:ser>
        <c:dLbls>
          <c:showLegendKey val="0"/>
          <c:showVal val="0"/>
          <c:showCatName val="0"/>
          <c:showSerName val="0"/>
          <c:showPercent val="0"/>
          <c:showBubbleSize val="0"/>
        </c:dLbls>
        <c:gapWidth val="219"/>
        <c:overlap val="-27"/>
        <c:axId val="1553247759"/>
        <c:axId val="1385401103"/>
      </c:barChart>
      <c:catAx>
        <c:axId val="155324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401103"/>
        <c:crosses val="autoZero"/>
        <c:auto val="1"/>
        <c:lblAlgn val="ctr"/>
        <c:lblOffset val="100"/>
        <c:noMultiLvlLbl val="0"/>
      </c:catAx>
      <c:valAx>
        <c:axId val="138540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4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'9-A'!$F$6:$F$10</c:f>
              <c:numCache>
                <c:formatCode>General</c:formatCode>
                <c:ptCount val="5"/>
                <c:pt idx="0">
                  <c:v>1</c:v>
                </c:pt>
                <c:pt idx="1">
                  <c:v>2</c:v>
                </c:pt>
                <c:pt idx="2">
                  <c:v>3</c:v>
                </c:pt>
                <c:pt idx="3">
                  <c:v>4</c:v>
                </c:pt>
                <c:pt idx="4">
                  <c:v>5</c:v>
                </c:pt>
              </c:numCache>
            </c:numRef>
          </c:xVal>
          <c:yVal>
            <c:numRef>
              <c:f>'9-A'!$G$6:$G$10</c:f>
              <c:numCache>
                <c:formatCode>General</c:formatCode>
                <c:ptCount val="5"/>
                <c:pt idx="0">
                  <c:v>789.69999999999982</c:v>
                </c:pt>
                <c:pt idx="1">
                  <c:v>656.5</c:v>
                </c:pt>
                <c:pt idx="2">
                  <c:v>835.1</c:v>
                </c:pt>
                <c:pt idx="3">
                  <c:v>719.4</c:v>
                </c:pt>
                <c:pt idx="4">
                  <c:v>811.8</c:v>
                </c:pt>
              </c:numCache>
            </c:numRef>
          </c:yVal>
          <c:smooth val="0"/>
          <c:extLst>
            <c:ext xmlns:c16="http://schemas.microsoft.com/office/drawing/2014/chart" uri="{C3380CC4-5D6E-409C-BE32-E72D297353CC}">
              <c16:uniqueId val="{00000000-F32F-4704-8B5C-D3E5797ADEBA}"/>
            </c:ext>
          </c:extLst>
        </c:ser>
        <c:dLbls>
          <c:showLegendKey val="0"/>
          <c:showVal val="0"/>
          <c:showCatName val="0"/>
          <c:showSerName val="0"/>
          <c:showPercent val="0"/>
          <c:showBubbleSize val="0"/>
        </c:dLbls>
        <c:axId val="138600943"/>
        <c:axId val="138605743"/>
      </c:scatterChart>
      <c:valAx>
        <c:axId val="13860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5743"/>
        <c:crosses val="autoZero"/>
        <c:crossBetween val="midCat"/>
      </c:valAx>
      <c:valAx>
        <c:axId val="13860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09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Analysis.xlsx]9-B!PivotTable2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'9-B'!$B$3</c:f>
              <c:strCache>
                <c:ptCount val="1"/>
                <c:pt idx="0">
                  <c:v>Total</c:v>
                </c:pt>
              </c:strCache>
            </c:strRef>
          </c:tx>
          <c:spPr>
            <a:solidFill>
              <a:schemeClr val="accent1"/>
            </a:solidFill>
            <a:ln>
              <a:noFill/>
            </a:ln>
            <a:effectLst/>
          </c:spPr>
          <c:invertIfNegative val="0"/>
          <c:cat>
            <c:strRef>
              <c:f>'9-B'!$A$4:$A$9</c:f>
              <c:strCache>
                <c:ptCount val="5"/>
                <c:pt idx="0">
                  <c:v>Billing</c:v>
                </c:pt>
                <c:pt idx="1">
                  <c:v>Other</c:v>
                </c:pt>
                <c:pt idx="2">
                  <c:v>Product</c:v>
                </c:pt>
                <c:pt idx="3">
                  <c:v>Service</c:v>
                </c:pt>
                <c:pt idx="4">
                  <c:v>Website</c:v>
                </c:pt>
              </c:strCache>
            </c:strRef>
          </c:cat>
          <c:val>
            <c:numRef>
              <c:f>'9-B'!$B$4:$B$9</c:f>
              <c:numCache>
                <c:formatCode>General</c:formatCode>
                <c:ptCount val="5"/>
                <c:pt idx="0">
                  <c:v>18</c:v>
                </c:pt>
                <c:pt idx="1">
                  <c:v>14</c:v>
                </c:pt>
                <c:pt idx="2">
                  <c:v>19</c:v>
                </c:pt>
                <c:pt idx="3">
                  <c:v>16</c:v>
                </c:pt>
                <c:pt idx="4">
                  <c:v>13</c:v>
                </c:pt>
              </c:numCache>
            </c:numRef>
          </c:val>
          <c:extLst>
            <c:ext xmlns:c16="http://schemas.microsoft.com/office/drawing/2014/chart" uri="{C3380CC4-5D6E-409C-BE32-E72D297353CC}">
              <c16:uniqueId val="{00000000-96A2-4B7E-8357-0434EB2C74EA}"/>
            </c:ext>
          </c:extLst>
        </c:ser>
        <c:dLbls>
          <c:showLegendKey val="0"/>
          <c:showVal val="0"/>
          <c:showCatName val="0"/>
          <c:showSerName val="0"/>
          <c:showPercent val="0"/>
          <c:showBubbleSize val="0"/>
        </c:dLbls>
        <c:gapWidth val="150"/>
        <c:overlap val="100"/>
        <c:axId val="1988294416"/>
        <c:axId val="1988291056"/>
      </c:barChart>
      <c:catAx>
        <c:axId val="198829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91056"/>
        <c:crosses val="autoZero"/>
        <c:auto val="1"/>
        <c:lblAlgn val="ctr"/>
        <c:lblOffset val="100"/>
        <c:noMultiLvlLbl val="0"/>
      </c:catAx>
      <c:valAx>
        <c:axId val="198829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9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Analysis.xlsx]2!PivotTable1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8.3961873186904262E-2"/>
          <c:y val="0.16246332547220468"/>
          <c:w val="0.52305567067274483"/>
          <c:h val="0.59805061192228226"/>
        </c:manualLayout>
      </c:layout>
      <c:barChart>
        <c:barDir val="col"/>
        <c:grouping val="clustered"/>
        <c:varyColors val="0"/>
        <c:ser>
          <c:idx val="0"/>
          <c:order val="0"/>
          <c:tx>
            <c:strRef>
              <c:f>'2'!$B$3</c:f>
              <c:strCache>
                <c:ptCount val="1"/>
                <c:pt idx="0">
                  <c:v>Count of Service Rating</c:v>
                </c:pt>
              </c:strCache>
            </c:strRef>
          </c:tx>
          <c:spPr>
            <a:solidFill>
              <a:schemeClr val="accent1"/>
            </a:solidFill>
            <a:ln>
              <a:noFill/>
            </a:ln>
            <a:effectLst/>
          </c:spPr>
          <c:invertIfNegative val="0"/>
          <c:cat>
            <c:strRef>
              <c:f>'2'!$A$4:$A$9</c:f>
              <c:strCache>
                <c:ptCount val="5"/>
                <c:pt idx="0">
                  <c:v>1</c:v>
                </c:pt>
                <c:pt idx="1">
                  <c:v>2</c:v>
                </c:pt>
                <c:pt idx="2">
                  <c:v>3</c:v>
                </c:pt>
                <c:pt idx="3">
                  <c:v>4</c:v>
                </c:pt>
                <c:pt idx="4">
                  <c:v>5</c:v>
                </c:pt>
              </c:strCache>
            </c:strRef>
          </c:cat>
          <c:val>
            <c:numRef>
              <c:f>'2'!$B$4:$B$9</c:f>
              <c:numCache>
                <c:formatCode>General</c:formatCode>
                <c:ptCount val="5"/>
                <c:pt idx="0">
                  <c:v>22</c:v>
                </c:pt>
                <c:pt idx="1">
                  <c:v>16</c:v>
                </c:pt>
                <c:pt idx="2">
                  <c:v>19</c:v>
                </c:pt>
                <c:pt idx="3">
                  <c:v>20</c:v>
                </c:pt>
                <c:pt idx="4">
                  <c:v>23</c:v>
                </c:pt>
              </c:numCache>
            </c:numRef>
          </c:val>
          <c:extLst>
            <c:ext xmlns:c16="http://schemas.microsoft.com/office/drawing/2014/chart" uri="{C3380CC4-5D6E-409C-BE32-E72D297353CC}">
              <c16:uniqueId val="{00000000-875C-4976-85E1-80736F00BCB5}"/>
            </c:ext>
          </c:extLst>
        </c:ser>
        <c:ser>
          <c:idx val="1"/>
          <c:order val="1"/>
          <c:tx>
            <c:strRef>
              <c:f>'2'!$C$3</c:f>
              <c:strCache>
                <c:ptCount val="1"/>
                <c:pt idx="0">
                  <c:v>percentage of Service Rating</c:v>
                </c:pt>
              </c:strCache>
            </c:strRef>
          </c:tx>
          <c:spPr>
            <a:solidFill>
              <a:schemeClr val="accent2"/>
            </a:solidFill>
            <a:ln>
              <a:noFill/>
            </a:ln>
            <a:effectLst/>
          </c:spPr>
          <c:invertIfNegative val="0"/>
          <c:cat>
            <c:strRef>
              <c:f>'2'!$A$4:$A$9</c:f>
              <c:strCache>
                <c:ptCount val="5"/>
                <c:pt idx="0">
                  <c:v>1</c:v>
                </c:pt>
                <c:pt idx="1">
                  <c:v>2</c:v>
                </c:pt>
                <c:pt idx="2">
                  <c:v>3</c:v>
                </c:pt>
                <c:pt idx="3">
                  <c:v>4</c:v>
                </c:pt>
                <c:pt idx="4">
                  <c:v>5</c:v>
                </c:pt>
              </c:strCache>
            </c:strRef>
          </c:cat>
          <c:val>
            <c:numRef>
              <c:f>'2'!$C$4:$C$9</c:f>
              <c:numCache>
                <c:formatCode>0.00%</c:formatCode>
                <c:ptCount val="5"/>
                <c:pt idx="0">
                  <c:v>7.1895424836601302E-2</c:v>
                </c:pt>
                <c:pt idx="1">
                  <c:v>0.10457516339869281</c:v>
                </c:pt>
                <c:pt idx="2">
                  <c:v>0.18627450980392157</c:v>
                </c:pt>
                <c:pt idx="3">
                  <c:v>0.26143790849673204</c:v>
                </c:pt>
                <c:pt idx="4">
                  <c:v>0.37581699346405228</c:v>
                </c:pt>
              </c:numCache>
            </c:numRef>
          </c:val>
          <c:extLst>
            <c:ext xmlns:c16="http://schemas.microsoft.com/office/drawing/2014/chart" uri="{C3380CC4-5D6E-409C-BE32-E72D297353CC}">
              <c16:uniqueId val="{00000001-875C-4976-85E1-80736F00BCB5}"/>
            </c:ext>
          </c:extLst>
        </c:ser>
        <c:dLbls>
          <c:showLegendKey val="0"/>
          <c:showVal val="0"/>
          <c:showCatName val="0"/>
          <c:showSerName val="0"/>
          <c:showPercent val="0"/>
          <c:showBubbleSize val="0"/>
        </c:dLbls>
        <c:gapWidth val="219"/>
        <c:overlap val="-27"/>
        <c:axId val="1388611248"/>
        <c:axId val="1189114640"/>
      </c:barChart>
      <c:catAx>
        <c:axId val="138861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114640"/>
        <c:crosses val="autoZero"/>
        <c:auto val="1"/>
        <c:lblAlgn val="ctr"/>
        <c:lblOffset val="100"/>
        <c:noMultiLvlLbl val="0"/>
      </c:catAx>
      <c:valAx>
        <c:axId val="118911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61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Analysis.xlsx]3!PivotTable2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6A-4B8B-98E4-89E0CE6AE0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6A-4B8B-98E4-89E0CE6AE0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6A-4B8B-98E4-89E0CE6AE0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6A-4B8B-98E4-89E0CE6AE0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6A-4B8B-98E4-89E0CE6AE00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'3'!$A$4:$A$9</c:f>
              <c:strCache>
                <c:ptCount val="5"/>
                <c:pt idx="0">
                  <c:v>Billing</c:v>
                </c:pt>
                <c:pt idx="1">
                  <c:v>Other</c:v>
                </c:pt>
                <c:pt idx="2">
                  <c:v>Product</c:v>
                </c:pt>
                <c:pt idx="3">
                  <c:v>Service</c:v>
                </c:pt>
                <c:pt idx="4">
                  <c:v>Website</c:v>
                </c:pt>
              </c:strCache>
            </c:strRef>
          </c:cat>
          <c:val>
            <c:numRef>
              <c:f>'3'!$B$4:$B$9</c:f>
              <c:numCache>
                <c:formatCode>0.00%</c:formatCode>
                <c:ptCount val="5"/>
                <c:pt idx="0">
                  <c:v>0.22</c:v>
                </c:pt>
                <c:pt idx="1">
                  <c:v>0.18</c:v>
                </c:pt>
                <c:pt idx="2">
                  <c:v>0.24</c:v>
                </c:pt>
                <c:pt idx="3">
                  <c:v>0.19</c:v>
                </c:pt>
                <c:pt idx="4">
                  <c:v>0.17</c:v>
                </c:pt>
              </c:numCache>
            </c:numRef>
          </c:val>
          <c:extLst>
            <c:ext xmlns:c16="http://schemas.microsoft.com/office/drawing/2014/chart" uri="{C3380CC4-5D6E-409C-BE32-E72D297353CC}">
              <c16:uniqueId val="{0000000A-896A-4B8B-98E4-89E0CE6AE0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Analysis.xlsx]3!PivotTable2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strRef>
              <c:f>'3'!$B$3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1A-4C43-92D5-A1C3441642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1A-4C43-92D5-A1C3441642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1A-4C43-92D5-A1C3441642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1A-4C43-92D5-A1C3441642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1A-4C43-92D5-A1C3441642D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'3'!$A$4:$A$9</c:f>
              <c:strCache>
                <c:ptCount val="5"/>
                <c:pt idx="0">
                  <c:v>Billing</c:v>
                </c:pt>
                <c:pt idx="1">
                  <c:v>Other</c:v>
                </c:pt>
                <c:pt idx="2">
                  <c:v>Product</c:v>
                </c:pt>
                <c:pt idx="3">
                  <c:v>Service</c:v>
                </c:pt>
                <c:pt idx="4">
                  <c:v>Website</c:v>
                </c:pt>
              </c:strCache>
            </c:strRef>
          </c:cat>
          <c:val>
            <c:numRef>
              <c:f>'3'!$B$4:$B$9</c:f>
              <c:numCache>
                <c:formatCode>0.00%</c:formatCode>
                <c:ptCount val="5"/>
                <c:pt idx="0">
                  <c:v>0.22</c:v>
                </c:pt>
                <c:pt idx="1">
                  <c:v>0.18</c:v>
                </c:pt>
                <c:pt idx="2">
                  <c:v>0.24</c:v>
                </c:pt>
                <c:pt idx="3">
                  <c:v>0.19</c:v>
                </c:pt>
                <c:pt idx="4">
                  <c:v>0.17</c:v>
                </c:pt>
              </c:numCache>
            </c:numRef>
          </c:val>
          <c:extLst>
            <c:ext xmlns:c16="http://schemas.microsoft.com/office/drawing/2014/chart" uri="{C3380CC4-5D6E-409C-BE32-E72D297353CC}">
              <c16:uniqueId val="{0000000A-B41A-4C43-92D5-A1C3441642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Analysis.xlsx]5-B!PivotTable3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'5-B'!$B$3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45-40F2-8C04-6C35852CA3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45-40F2-8C04-6C35852CA3A4}"/>
              </c:ext>
            </c:extLst>
          </c:dPt>
          <c:cat>
            <c:strRef>
              <c:f>'5-B'!$A$4:$A$6</c:f>
              <c:strCache>
                <c:ptCount val="2"/>
                <c:pt idx="0">
                  <c:v>No</c:v>
                </c:pt>
                <c:pt idx="1">
                  <c:v>Yes</c:v>
                </c:pt>
              </c:strCache>
            </c:strRef>
          </c:cat>
          <c:val>
            <c:numRef>
              <c:f>'5-B'!$B$4:$B$6</c:f>
              <c:numCache>
                <c:formatCode>General</c:formatCode>
                <c:ptCount val="2"/>
                <c:pt idx="0">
                  <c:v>20</c:v>
                </c:pt>
                <c:pt idx="1">
                  <c:v>80</c:v>
                </c:pt>
              </c:numCache>
            </c:numRef>
          </c:val>
          <c:extLst>
            <c:ext xmlns:c16="http://schemas.microsoft.com/office/drawing/2014/chart" uri="{C3380CC4-5D6E-409C-BE32-E72D297353CC}">
              <c16:uniqueId val="{00000004-CC45-40F2-8C04-6C35852CA3A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Analysis.xlsx]6-C!PivotTable5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'6-C'!$B$3</c:f>
              <c:strCache>
                <c:ptCount val="1"/>
                <c:pt idx="0">
                  <c:v>Total</c:v>
                </c:pt>
              </c:strCache>
            </c:strRef>
          </c:tx>
          <c:spPr>
            <a:solidFill>
              <a:schemeClr val="accent1"/>
            </a:solidFill>
            <a:ln>
              <a:noFill/>
            </a:ln>
            <a:effectLst/>
          </c:spPr>
          <c:invertIfNegative val="0"/>
          <c:cat>
            <c:strRef>
              <c:f>'6-C'!$A$4:$A$9</c:f>
              <c:strCache>
                <c:ptCount val="5"/>
                <c:pt idx="0">
                  <c:v>1</c:v>
                </c:pt>
                <c:pt idx="1">
                  <c:v>2</c:v>
                </c:pt>
                <c:pt idx="2">
                  <c:v>3</c:v>
                </c:pt>
                <c:pt idx="3">
                  <c:v>4</c:v>
                </c:pt>
                <c:pt idx="4">
                  <c:v>5</c:v>
                </c:pt>
              </c:strCache>
            </c:strRef>
          </c:cat>
          <c:val>
            <c:numRef>
              <c:f>'6-C'!$B$4:$B$9</c:f>
              <c:numCache>
                <c:formatCode>General</c:formatCode>
                <c:ptCount val="5"/>
                <c:pt idx="0">
                  <c:v>789.69999999999982</c:v>
                </c:pt>
                <c:pt idx="1">
                  <c:v>656.5</c:v>
                </c:pt>
                <c:pt idx="2">
                  <c:v>835.1</c:v>
                </c:pt>
                <c:pt idx="3">
                  <c:v>719.4</c:v>
                </c:pt>
                <c:pt idx="4">
                  <c:v>811.8</c:v>
                </c:pt>
              </c:numCache>
            </c:numRef>
          </c:val>
          <c:extLst>
            <c:ext xmlns:c16="http://schemas.microsoft.com/office/drawing/2014/chart" uri="{C3380CC4-5D6E-409C-BE32-E72D297353CC}">
              <c16:uniqueId val="{00000000-E904-4D1B-8A21-8A6290C52FF4}"/>
            </c:ext>
          </c:extLst>
        </c:ser>
        <c:dLbls>
          <c:showLegendKey val="0"/>
          <c:showVal val="0"/>
          <c:showCatName val="0"/>
          <c:showSerName val="0"/>
          <c:showPercent val="0"/>
          <c:showBubbleSize val="0"/>
        </c:dLbls>
        <c:gapWidth val="219"/>
        <c:overlap val="-27"/>
        <c:axId val="1553247759"/>
        <c:axId val="1385401103"/>
      </c:barChart>
      <c:catAx>
        <c:axId val="155324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401103"/>
        <c:crosses val="autoZero"/>
        <c:auto val="1"/>
        <c:lblAlgn val="ctr"/>
        <c:lblOffset val="100"/>
        <c:noMultiLvlLbl val="0"/>
      </c:catAx>
      <c:valAx>
        <c:axId val="138540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4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8400701014617328"/>
          <c:y val="6.00028536790253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'9-A'!$F$6:$F$10</c:f>
              <c:numCache>
                <c:formatCode>General</c:formatCode>
                <c:ptCount val="5"/>
                <c:pt idx="0">
                  <c:v>1</c:v>
                </c:pt>
                <c:pt idx="1">
                  <c:v>2</c:v>
                </c:pt>
                <c:pt idx="2">
                  <c:v>3</c:v>
                </c:pt>
                <c:pt idx="3">
                  <c:v>4</c:v>
                </c:pt>
                <c:pt idx="4">
                  <c:v>5</c:v>
                </c:pt>
              </c:numCache>
            </c:numRef>
          </c:xVal>
          <c:yVal>
            <c:numRef>
              <c:f>'9-A'!$G$6:$G$10</c:f>
              <c:numCache>
                <c:formatCode>General</c:formatCode>
                <c:ptCount val="5"/>
                <c:pt idx="0">
                  <c:v>789.69999999999982</c:v>
                </c:pt>
                <c:pt idx="1">
                  <c:v>656.5</c:v>
                </c:pt>
                <c:pt idx="2">
                  <c:v>835.1</c:v>
                </c:pt>
                <c:pt idx="3">
                  <c:v>719.4</c:v>
                </c:pt>
                <c:pt idx="4">
                  <c:v>811.8</c:v>
                </c:pt>
              </c:numCache>
            </c:numRef>
          </c:yVal>
          <c:smooth val="0"/>
          <c:extLst>
            <c:ext xmlns:c16="http://schemas.microsoft.com/office/drawing/2014/chart" uri="{C3380CC4-5D6E-409C-BE32-E72D297353CC}">
              <c16:uniqueId val="{00000000-016B-489A-8EFD-4D10911B0B40}"/>
            </c:ext>
          </c:extLst>
        </c:ser>
        <c:dLbls>
          <c:showLegendKey val="0"/>
          <c:showVal val="0"/>
          <c:showCatName val="0"/>
          <c:showSerName val="0"/>
          <c:showPercent val="0"/>
          <c:showBubbleSize val="0"/>
        </c:dLbls>
        <c:axId val="138600943"/>
        <c:axId val="138605743"/>
      </c:scatterChart>
      <c:valAx>
        <c:axId val="13860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5743"/>
        <c:crosses val="autoZero"/>
        <c:crossBetween val="midCat"/>
      </c:valAx>
      <c:valAx>
        <c:axId val="13860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09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Feedback Analysis.xlsx]9-B!PivotTable2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'9-B'!$B$3</c:f>
              <c:strCache>
                <c:ptCount val="1"/>
                <c:pt idx="0">
                  <c:v>Total</c:v>
                </c:pt>
              </c:strCache>
            </c:strRef>
          </c:tx>
          <c:spPr>
            <a:solidFill>
              <a:schemeClr val="accent1"/>
            </a:solidFill>
            <a:ln>
              <a:noFill/>
            </a:ln>
            <a:effectLst/>
          </c:spPr>
          <c:invertIfNegative val="0"/>
          <c:cat>
            <c:strRef>
              <c:f>'9-B'!$A$4:$A$9</c:f>
              <c:strCache>
                <c:ptCount val="5"/>
                <c:pt idx="0">
                  <c:v>Billing</c:v>
                </c:pt>
                <c:pt idx="1">
                  <c:v>Other</c:v>
                </c:pt>
                <c:pt idx="2">
                  <c:v>Product</c:v>
                </c:pt>
                <c:pt idx="3">
                  <c:v>Service</c:v>
                </c:pt>
                <c:pt idx="4">
                  <c:v>Website</c:v>
                </c:pt>
              </c:strCache>
            </c:strRef>
          </c:cat>
          <c:val>
            <c:numRef>
              <c:f>'9-B'!$B$4:$B$9</c:f>
              <c:numCache>
                <c:formatCode>General</c:formatCode>
                <c:ptCount val="5"/>
                <c:pt idx="0">
                  <c:v>18</c:v>
                </c:pt>
                <c:pt idx="1">
                  <c:v>14</c:v>
                </c:pt>
                <c:pt idx="2">
                  <c:v>19</c:v>
                </c:pt>
                <c:pt idx="3">
                  <c:v>16</c:v>
                </c:pt>
                <c:pt idx="4">
                  <c:v>13</c:v>
                </c:pt>
              </c:numCache>
            </c:numRef>
          </c:val>
          <c:extLst>
            <c:ext xmlns:c16="http://schemas.microsoft.com/office/drawing/2014/chart" uri="{C3380CC4-5D6E-409C-BE32-E72D297353CC}">
              <c16:uniqueId val="{00000000-9D2C-4252-85C2-E7204039A293}"/>
            </c:ext>
          </c:extLst>
        </c:ser>
        <c:dLbls>
          <c:showLegendKey val="0"/>
          <c:showVal val="0"/>
          <c:showCatName val="0"/>
          <c:showSerName val="0"/>
          <c:showPercent val="0"/>
          <c:showBubbleSize val="0"/>
        </c:dLbls>
        <c:gapWidth val="150"/>
        <c:overlap val="100"/>
        <c:axId val="1988294416"/>
        <c:axId val="1988291056"/>
      </c:barChart>
      <c:catAx>
        <c:axId val="198829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91056"/>
        <c:crosses val="autoZero"/>
        <c:auto val="1"/>
        <c:lblAlgn val="ctr"/>
        <c:lblOffset val="100"/>
        <c:noMultiLvlLbl val="0"/>
      </c:catAx>
      <c:valAx>
        <c:axId val="1988291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9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data id="2">
      <cx:numDim type="val">
        <cx:f>_xlchart.v1.2</cx:f>
      </cx:numDim>
    </cx:data>
  </cx:chartData>
  <cx:chart>
    <cx:title pos="t" align="ctr" overlay="0"/>
    <cx:plotArea>
      <cx:plotAreaRegion>
        <cx:series layoutId="clusteredColumn" uniqueId="{00000000-FACD-4734-806E-1DBCBBEEA0D1}" formatIdx="0">
          <cx:dataId val="0"/>
          <cx:layoutPr>
            <cx:binning intervalClosed="r"/>
          </cx:layoutPr>
        </cx:series>
        <cx:series layoutId="clusteredColumn" hidden="1" uniqueId="{00000001-FACD-4734-806E-1DBCBBEEA0D1}" formatIdx="1">
          <cx:dataId val="1"/>
          <cx:layoutPr>
            <cx:binning intervalClosed="r"/>
          </cx:layoutPr>
        </cx:series>
        <cx:series layoutId="clusteredColumn" hidden="1" uniqueId="{00000002-FACD-4734-806E-1DBCBBEEA0D1}" formatIdx="2">
          <cx:dataId val="2"/>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data id="1">
      <cx:numDim type="val">
        <cx:f>_xlchart.v1.4</cx:f>
      </cx:numDim>
    </cx:data>
  </cx:chartData>
  <cx:chart>
    <cx:title pos="t" align="ctr" overlay="0"/>
    <cx:plotArea>
      <cx:plotAreaRegion>
        <cx:series layoutId="clusteredColumn" uniqueId="{00000000-C261-4BA5-9211-41C8645A4F2B}" formatIdx="0">
          <cx:dataId val="0"/>
          <cx:layoutPr>
            <cx:binning intervalClosed="r"/>
          </cx:layoutPr>
        </cx:series>
        <cx:series layoutId="clusteredColumn" hidden="1" uniqueId="{00000001-C261-4BA5-9211-41C8645A4F2B}" formatIdx="1">
          <cx:dataId val="1"/>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_xlchart.v1.6</cx:f>
      </cx:numDim>
    </cx:data>
    <cx:data id="2">
      <cx:numDim type="val">
        <cx:f>_xlchart.v1.7</cx:f>
      </cx:numDim>
    </cx:data>
  </cx:chartData>
  <cx:chart>
    <cx:title pos="t" align="ctr" overlay="0"/>
    <cx:plotArea>
      <cx:plotAreaRegion>
        <cx:series layoutId="clusteredColumn" uniqueId="{00000000-FACD-4734-806E-1DBCBBEEA0D1}" formatIdx="0">
          <cx:dataId val="0"/>
          <cx:layoutPr>
            <cx:binning intervalClosed="r"/>
          </cx:layoutPr>
        </cx:series>
        <cx:series layoutId="clusteredColumn" hidden="1" uniqueId="{00000001-FACD-4734-806E-1DBCBBEEA0D1}" formatIdx="1">
          <cx:dataId val="1"/>
          <cx:layoutPr>
            <cx:binning intervalClosed="r"/>
          </cx:layoutPr>
        </cx:series>
        <cx:series layoutId="clusteredColumn" hidden="1" uniqueId="{00000002-FACD-4734-806E-1DBCBBEEA0D1}" formatIdx="2">
          <cx:dataId val="2"/>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data id="1">
      <cx:numDim type="val">
        <cx:f>_xlchart.v1.9</cx:f>
      </cx:numDim>
    </cx:data>
  </cx:chartData>
  <cx:chart>
    <cx:title pos="t" align="ctr" overlay="0"/>
    <cx:plotArea>
      <cx:plotAreaRegion>
        <cx:series layoutId="clusteredColumn" uniqueId="{00000000-C261-4BA5-9211-41C8645A4F2B}" formatIdx="0">
          <cx:dataId val="0"/>
          <cx:layoutPr>
            <cx:binning intervalClosed="r"/>
          </cx:layoutPr>
        </cx:series>
        <cx:series layoutId="clusteredColumn" hidden="1" uniqueId="{00000001-C261-4BA5-9211-41C8645A4F2B}" formatIdx="1">
          <cx:dataId val="1"/>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9.xml"/><Relationship Id="rId7" Type="http://schemas.openxmlformats.org/officeDocument/2006/relationships/chart" Target="../charts/chart12.xml"/><Relationship Id="rId2" Type="http://schemas.microsoft.com/office/2014/relationships/chartEx" Target="../charts/chartEx3.xml"/><Relationship Id="rId1" Type="http://schemas.openxmlformats.org/officeDocument/2006/relationships/chart" Target="../charts/chart8.xml"/><Relationship Id="rId6" Type="http://schemas.microsoft.com/office/2014/relationships/chartEx" Target="../charts/chartEx4.xml"/><Relationship Id="rId5" Type="http://schemas.openxmlformats.org/officeDocument/2006/relationships/chart" Target="../charts/chart11.xml"/><Relationship Id="rId10" Type="http://schemas.openxmlformats.org/officeDocument/2006/relationships/image" Target="../media/image1.emf"/><Relationship Id="rId4" Type="http://schemas.openxmlformats.org/officeDocument/2006/relationships/chart" Target="../charts/chart10.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5</xdr:col>
      <xdr:colOff>0</xdr:colOff>
      <xdr:row>14</xdr:row>
      <xdr:rowOff>53340</xdr:rowOff>
    </xdr:from>
    <xdr:to>
      <xdr:col>10</xdr:col>
      <xdr:colOff>213360</xdr:colOff>
      <xdr:row>27</xdr:row>
      <xdr:rowOff>57150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385D8D1-7637-32FA-E93F-1991419B66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99760" y="2506980"/>
              <a:ext cx="3566160" cy="22821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701040</xdr:colOff>
      <xdr:row>14</xdr:row>
      <xdr:rowOff>106680</xdr:rowOff>
    </xdr:from>
    <xdr:to>
      <xdr:col>5</xdr:col>
      <xdr:colOff>30480</xdr:colOff>
      <xdr:row>27</xdr:row>
      <xdr:rowOff>57150</xdr:rowOff>
    </xdr:to>
    <xdr:graphicFrame macro="">
      <xdr:nvGraphicFramePr>
        <xdr:cNvPr id="5" name="Chart 4">
          <a:extLst>
            <a:ext uri="{FF2B5EF4-FFF2-40B4-BE49-F238E27FC236}">
              <a16:creationId xmlns:a16="http://schemas.microsoft.com/office/drawing/2014/main" id="{52DC6B40-D88F-AA8B-D83C-4F33AEB74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9</xdr:row>
      <xdr:rowOff>171450</xdr:rowOff>
    </xdr:from>
    <xdr:to>
      <xdr:col>4</xdr:col>
      <xdr:colOff>556260</xdr:colOff>
      <xdr:row>22</xdr:row>
      <xdr:rowOff>45720</xdr:rowOff>
    </xdr:to>
    <xdr:graphicFrame macro="">
      <xdr:nvGraphicFramePr>
        <xdr:cNvPr id="9" name="Chart 8">
          <a:extLst>
            <a:ext uri="{FF2B5EF4-FFF2-40B4-BE49-F238E27FC236}">
              <a16:creationId xmlns:a16="http://schemas.microsoft.com/office/drawing/2014/main" id="{39268F22-1ED2-180A-823C-930D2A013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9</xdr:row>
      <xdr:rowOff>175260</xdr:rowOff>
    </xdr:from>
    <xdr:to>
      <xdr:col>6</xdr:col>
      <xdr:colOff>731520</xdr:colOff>
      <xdr:row>22</xdr:row>
      <xdr:rowOff>60960</xdr:rowOff>
    </xdr:to>
    <xdr:graphicFrame macro="">
      <xdr:nvGraphicFramePr>
        <xdr:cNvPr id="10" name="Chart 9">
          <a:extLst>
            <a:ext uri="{FF2B5EF4-FFF2-40B4-BE49-F238E27FC236}">
              <a16:creationId xmlns:a16="http://schemas.microsoft.com/office/drawing/2014/main" id="{A6F0E5E3-DA58-832F-DA86-61150F612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5</xdr:row>
      <xdr:rowOff>80010</xdr:rowOff>
    </xdr:from>
    <xdr:to>
      <xdr:col>9</xdr:col>
      <xdr:colOff>99060</xdr:colOff>
      <xdr:row>17</xdr:row>
      <xdr:rowOff>106680</xdr:rowOff>
    </xdr:to>
    <xdr:graphicFrame macro="">
      <xdr:nvGraphicFramePr>
        <xdr:cNvPr id="2" name="Chart 1">
          <a:extLst>
            <a:ext uri="{FF2B5EF4-FFF2-40B4-BE49-F238E27FC236}">
              <a16:creationId xmlns:a16="http://schemas.microsoft.com/office/drawing/2014/main" id="{9336F9A9-E244-D41D-FEFC-93FF54326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2</xdr:row>
      <xdr:rowOff>11430</xdr:rowOff>
    </xdr:from>
    <xdr:to>
      <xdr:col>15</xdr:col>
      <xdr:colOff>304800</xdr:colOff>
      <xdr:row>17</xdr:row>
      <xdr:rowOff>11430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E772D6E-AAB9-0082-AA03-727BEF0FF4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57060" y="361950"/>
              <a:ext cx="4998720" cy="2628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487680</xdr:colOff>
      <xdr:row>6</xdr:row>
      <xdr:rowOff>80010</xdr:rowOff>
    </xdr:from>
    <xdr:to>
      <xdr:col>9</xdr:col>
      <xdr:colOff>99060</xdr:colOff>
      <xdr:row>21</xdr:row>
      <xdr:rowOff>80010</xdr:rowOff>
    </xdr:to>
    <xdr:graphicFrame macro="">
      <xdr:nvGraphicFramePr>
        <xdr:cNvPr id="3" name="Chart 2">
          <a:extLst>
            <a:ext uri="{FF2B5EF4-FFF2-40B4-BE49-F238E27FC236}">
              <a16:creationId xmlns:a16="http://schemas.microsoft.com/office/drawing/2014/main" id="{9484FFC0-8E69-6704-6744-05BE8326C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373380</xdr:colOff>
      <xdr:row>10</xdr:row>
      <xdr:rowOff>121920</xdr:rowOff>
    </xdr:from>
    <xdr:to>
      <xdr:col>11</xdr:col>
      <xdr:colOff>53340</xdr:colOff>
      <xdr:row>18</xdr:row>
      <xdr:rowOff>30480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ED2A2C4E-888E-E2BD-A7FB-AB9FE0944B4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076700" y="19507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571500</xdr:colOff>
      <xdr:row>7</xdr:row>
      <xdr:rowOff>38100</xdr:rowOff>
    </xdr:from>
    <xdr:to>
      <xdr:col>8</xdr:col>
      <xdr:colOff>571500</xdr:colOff>
      <xdr:row>21</xdr:row>
      <xdr:rowOff>59055</xdr:rowOff>
    </xdr:to>
    <mc:AlternateContent xmlns:mc="http://schemas.openxmlformats.org/markup-compatibility/2006" xmlns:a14="http://schemas.microsoft.com/office/drawing/2010/main">
      <mc:Choice Requires="a14">
        <xdr:graphicFrame macro="">
          <xdr:nvGraphicFramePr>
            <xdr:cNvPr id="2" name="Service Rating">
              <a:extLst>
                <a:ext uri="{FF2B5EF4-FFF2-40B4-BE49-F238E27FC236}">
                  <a16:creationId xmlns:a16="http://schemas.microsoft.com/office/drawing/2014/main" id="{8CD7E191-805F-A0EE-69D4-85AF17E0E020}"/>
                </a:ext>
              </a:extLst>
            </xdr:cNvPr>
            <xdr:cNvGraphicFramePr/>
          </xdr:nvGraphicFramePr>
          <xdr:xfrm>
            <a:off x="0" y="0"/>
            <a:ext cx="0" cy="0"/>
          </xdr:xfrm>
          <a:graphic>
            <a:graphicData uri="http://schemas.microsoft.com/office/drawing/2010/slicer">
              <sle:slicer xmlns:sle="http://schemas.microsoft.com/office/drawing/2010/slicer" name="Service Rating"/>
            </a:graphicData>
          </a:graphic>
        </xdr:graphicFrame>
      </mc:Choice>
      <mc:Fallback xmlns="">
        <xdr:sp macro="" textlink="">
          <xdr:nvSpPr>
            <xdr:cNvPr id="0" name=""/>
            <xdr:cNvSpPr>
              <a:spLocks noTextEdit="1"/>
            </xdr:cNvSpPr>
          </xdr:nvSpPr>
          <xdr:spPr>
            <a:xfrm>
              <a:off x="4632960" y="1318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7</xdr:col>
      <xdr:colOff>335280</xdr:colOff>
      <xdr:row>1</xdr:row>
      <xdr:rowOff>171450</xdr:rowOff>
    </xdr:from>
    <xdr:to>
      <xdr:col>15</xdr:col>
      <xdr:colOff>30480</xdr:colOff>
      <xdr:row>16</xdr:row>
      <xdr:rowOff>171450</xdr:rowOff>
    </xdr:to>
    <xdr:graphicFrame macro="">
      <xdr:nvGraphicFramePr>
        <xdr:cNvPr id="2" name="Chart 1">
          <a:extLst>
            <a:ext uri="{FF2B5EF4-FFF2-40B4-BE49-F238E27FC236}">
              <a16:creationId xmlns:a16="http://schemas.microsoft.com/office/drawing/2014/main" id="{5E8BDDC1-2D2E-F3B7-ABC8-DA309AAF7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236220</xdr:colOff>
      <xdr:row>6</xdr:row>
      <xdr:rowOff>80010</xdr:rowOff>
    </xdr:from>
    <xdr:to>
      <xdr:col>10</xdr:col>
      <xdr:colOff>541020</xdr:colOff>
      <xdr:row>21</xdr:row>
      <xdr:rowOff>80010</xdr:rowOff>
    </xdr:to>
    <xdr:graphicFrame macro="">
      <xdr:nvGraphicFramePr>
        <xdr:cNvPr id="2" name="Chart 1">
          <a:extLst>
            <a:ext uri="{FF2B5EF4-FFF2-40B4-BE49-F238E27FC236}">
              <a16:creationId xmlns:a16="http://schemas.microsoft.com/office/drawing/2014/main" id="{0EBC1DA4-CCE6-C6A1-76B4-335E3FCB7F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304800</xdr:colOff>
      <xdr:row>2</xdr:row>
      <xdr:rowOff>11654</xdr:rowOff>
    </xdr:from>
    <xdr:to>
      <xdr:col>27</xdr:col>
      <xdr:colOff>502920</xdr:colOff>
      <xdr:row>55</xdr:row>
      <xdr:rowOff>43928</xdr:rowOff>
    </xdr:to>
    <xdr:sp macro="" textlink="">
      <xdr:nvSpPr>
        <xdr:cNvPr id="2" name="Rectangle: Rounded Corners 1">
          <a:extLst>
            <a:ext uri="{FF2B5EF4-FFF2-40B4-BE49-F238E27FC236}">
              <a16:creationId xmlns:a16="http://schemas.microsoft.com/office/drawing/2014/main" id="{937C1BEC-F476-9FEA-91D1-3257AE3A8259}"/>
            </a:ext>
          </a:extLst>
        </xdr:cNvPr>
        <xdr:cNvSpPr/>
      </xdr:nvSpPr>
      <xdr:spPr>
        <a:xfrm>
          <a:off x="2133600" y="377414"/>
          <a:ext cx="14828520" cy="97249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317798</xdr:colOff>
      <xdr:row>3</xdr:row>
      <xdr:rowOff>121024</xdr:rowOff>
    </xdr:from>
    <xdr:to>
      <xdr:col>19</xdr:col>
      <xdr:colOff>91439</xdr:colOff>
      <xdr:row>6</xdr:row>
      <xdr:rowOff>98164</xdr:rowOff>
    </xdr:to>
    <xdr:sp macro="" textlink="">
      <xdr:nvSpPr>
        <xdr:cNvPr id="3" name="Rectangle: Rounded Corners 2">
          <a:extLst>
            <a:ext uri="{FF2B5EF4-FFF2-40B4-BE49-F238E27FC236}">
              <a16:creationId xmlns:a16="http://schemas.microsoft.com/office/drawing/2014/main" id="{58F1B101-CD68-CC11-AC25-CB03D308881D}"/>
            </a:ext>
          </a:extLst>
        </xdr:cNvPr>
        <xdr:cNvSpPr/>
      </xdr:nvSpPr>
      <xdr:spPr>
        <a:xfrm>
          <a:off x="7023398" y="669664"/>
          <a:ext cx="4650441" cy="5257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2400" b="1"/>
            <a:t>COSTUMER</a:t>
          </a:r>
          <a:r>
            <a:rPr lang="en-IN" sz="2400" b="1" baseline="0"/>
            <a:t> FEEDBACK ANALYSIS</a:t>
          </a:r>
          <a:endParaRPr lang="en-IN" sz="2400" b="1"/>
        </a:p>
      </xdr:txBody>
    </xdr:sp>
    <xdr:clientData/>
  </xdr:twoCellAnchor>
  <xdr:twoCellAnchor>
    <xdr:from>
      <xdr:col>4</xdr:col>
      <xdr:colOff>106680</xdr:colOff>
      <xdr:row>15</xdr:row>
      <xdr:rowOff>76201</xdr:rowOff>
    </xdr:from>
    <xdr:to>
      <xdr:col>9</xdr:col>
      <xdr:colOff>495300</xdr:colOff>
      <xdr:row>26</xdr:row>
      <xdr:rowOff>2243</xdr:rowOff>
    </xdr:to>
    <xdr:graphicFrame macro="">
      <xdr:nvGraphicFramePr>
        <xdr:cNvPr id="4" name="Chart 3">
          <a:extLst>
            <a:ext uri="{FF2B5EF4-FFF2-40B4-BE49-F238E27FC236}">
              <a16:creationId xmlns:a16="http://schemas.microsoft.com/office/drawing/2014/main" id="{06A97755-0BAD-45D2-B112-EDEAA80DB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571499</xdr:colOff>
      <xdr:row>15</xdr:row>
      <xdr:rowOff>91440</xdr:rowOff>
    </xdr:from>
    <xdr:to>
      <xdr:col>15</xdr:col>
      <xdr:colOff>209774</xdr:colOff>
      <xdr:row>26</xdr:row>
      <xdr:rowOff>30480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D3C5CBD2-A2CE-4923-AC9B-6D5EEE3507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06539" y="2720340"/>
              <a:ext cx="3661635" cy="1866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141642</xdr:colOff>
      <xdr:row>26</xdr:row>
      <xdr:rowOff>111162</xdr:rowOff>
    </xdr:from>
    <xdr:to>
      <xdr:col>9</xdr:col>
      <xdr:colOff>473784</xdr:colOff>
      <xdr:row>38</xdr:row>
      <xdr:rowOff>32722</xdr:rowOff>
    </xdr:to>
    <xdr:graphicFrame macro="">
      <xdr:nvGraphicFramePr>
        <xdr:cNvPr id="6" name="Chart 5">
          <a:extLst>
            <a:ext uri="{FF2B5EF4-FFF2-40B4-BE49-F238E27FC236}">
              <a16:creationId xmlns:a16="http://schemas.microsoft.com/office/drawing/2014/main" id="{FDF30E24-350E-4CD3-A51D-79B0188C6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556260</xdr:colOff>
      <xdr:row>26</xdr:row>
      <xdr:rowOff>106680</xdr:rowOff>
    </xdr:from>
    <xdr:to>
      <xdr:col>15</xdr:col>
      <xdr:colOff>175260</xdr:colOff>
      <xdr:row>38</xdr:row>
      <xdr:rowOff>32722</xdr:rowOff>
    </xdr:to>
    <xdr:graphicFrame macro="">
      <xdr:nvGraphicFramePr>
        <xdr:cNvPr id="7" name="Chart 6">
          <a:extLst>
            <a:ext uri="{FF2B5EF4-FFF2-40B4-BE49-F238E27FC236}">
              <a16:creationId xmlns:a16="http://schemas.microsoft.com/office/drawing/2014/main" id="{2C37E8A8-D3B9-452B-9D83-EF7A96E14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274320</xdr:colOff>
      <xdr:row>15</xdr:row>
      <xdr:rowOff>69028</xdr:rowOff>
    </xdr:from>
    <xdr:to>
      <xdr:col>21</xdr:col>
      <xdr:colOff>137160</xdr:colOff>
      <xdr:row>25</xdr:row>
      <xdr:rowOff>175484</xdr:rowOff>
    </xdr:to>
    <xdr:graphicFrame macro="">
      <xdr:nvGraphicFramePr>
        <xdr:cNvPr id="8" name="Chart 7">
          <a:extLst>
            <a:ext uri="{FF2B5EF4-FFF2-40B4-BE49-F238E27FC236}">
              <a16:creationId xmlns:a16="http://schemas.microsoft.com/office/drawing/2014/main" id="{08B75C4C-F931-4ACD-87BA-69FCC88A7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289560</xdr:colOff>
      <xdr:row>26</xdr:row>
      <xdr:rowOff>83820</xdr:rowOff>
    </xdr:from>
    <xdr:to>
      <xdr:col>21</xdr:col>
      <xdr:colOff>144780</xdr:colOff>
      <xdr:row>38</xdr:row>
      <xdr:rowOff>38100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DC8E539-3E36-495A-975A-ED6A434D88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347960" y="4640580"/>
              <a:ext cx="3878580" cy="2057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21</xdr:col>
      <xdr:colOff>294044</xdr:colOff>
      <xdr:row>34</xdr:row>
      <xdr:rowOff>110265</xdr:rowOff>
    </xdr:from>
    <xdr:to>
      <xdr:col>26</xdr:col>
      <xdr:colOff>54238</xdr:colOff>
      <xdr:row>42</xdr:row>
      <xdr:rowOff>18825</xdr:rowOff>
    </xdr:to>
    <mc:AlternateContent xmlns:mc="http://schemas.openxmlformats.org/markup-compatibility/2006" xmlns:tsle="http://schemas.microsoft.com/office/drawing/2012/timeslicer">
      <mc:Choice Requires="tsle">
        <xdr:graphicFrame macro="">
          <xdr:nvGraphicFramePr>
            <xdr:cNvPr id="10" name="Date 1">
              <a:extLst>
                <a:ext uri="{FF2B5EF4-FFF2-40B4-BE49-F238E27FC236}">
                  <a16:creationId xmlns:a16="http://schemas.microsoft.com/office/drawing/2014/main" id="{160A1707-BE92-44E8-A399-8E0150C5C9A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3095644" y="6328185"/>
              <a:ext cx="2808194"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532502</xdr:colOff>
      <xdr:row>38</xdr:row>
      <xdr:rowOff>95923</xdr:rowOff>
    </xdr:from>
    <xdr:to>
      <xdr:col>15</xdr:col>
      <xdr:colOff>208877</xdr:colOff>
      <xdr:row>50</xdr:row>
      <xdr:rowOff>121920</xdr:rowOff>
    </xdr:to>
    <xdr:graphicFrame macro="">
      <xdr:nvGraphicFramePr>
        <xdr:cNvPr id="11" name="Chart 10">
          <a:extLst>
            <a:ext uri="{FF2B5EF4-FFF2-40B4-BE49-F238E27FC236}">
              <a16:creationId xmlns:a16="http://schemas.microsoft.com/office/drawing/2014/main" id="{BFEF8B9F-FDBC-4EC9-91A1-A9B3A292A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452268</xdr:colOff>
      <xdr:row>19</xdr:row>
      <xdr:rowOff>142986</xdr:rowOff>
    </xdr:from>
    <xdr:to>
      <xdr:col>24</xdr:col>
      <xdr:colOff>465715</xdr:colOff>
      <xdr:row>34</xdr:row>
      <xdr:rowOff>34850</xdr:rowOff>
    </xdr:to>
    <mc:AlternateContent xmlns:mc="http://schemas.openxmlformats.org/markup-compatibility/2006" xmlns:a14="http://schemas.microsoft.com/office/drawing/2010/main">
      <mc:Choice Requires="a14">
        <xdr:graphicFrame macro="">
          <xdr:nvGraphicFramePr>
            <xdr:cNvPr id="12" name="Service Rating 1">
              <a:extLst>
                <a:ext uri="{FF2B5EF4-FFF2-40B4-BE49-F238E27FC236}">
                  <a16:creationId xmlns:a16="http://schemas.microsoft.com/office/drawing/2014/main" id="{4F439B7C-C013-4A93-B198-5EF845231840}"/>
                </a:ext>
              </a:extLst>
            </xdr:cNvPr>
            <xdr:cNvGraphicFramePr/>
          </xdr:nvGraphicFramePr>
          <xdr:xfrm>
            <a:off x="0" y="0"/>
            <a:ext cx="0" cy="0"/>
          </xdr:xfrm>
          <a:graphic>
            <a:graphicData uri="http://schemas.microsoft.com/office/drawing/2010/slicer">
              <sle:slicer xmlns:sle="http://schemas.microsoft.com/office/drawing/2010/slicer" name="Service Rating 1"/>
            </a:graphicData>
          </a:graphic>
        </xdr:graphicFrame>
      </mc:Choice>
      <mc:Fallback xmlns="">
        <xdr:sp macro="" textlink="">
          <xdr:nvSpPr>
            <xdr:cNvPr id="0" name=""/>
            <xdr:cNvSpPr>
              <a:spLocks noTextEdit="1"/>
            </xdr:cNvSpPr>
          </xdr:nvSpPr>
          <xdr:spPr>
            <a:xfrm>
              <a:off x="13253868" y="3617706"/>
              <a:ext cx="1842247" cy="2635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306594</xdr:colOff>
      <xdr:row>38</xdr:row>
      <xdr:rowOff>141643</xdr:rowOff>
    </xdr:from>
    <xdr:to>
      <xdr:col>21</xdr:col>
      <xdr:colOff>149710</xdr:colOff>
      <xdr:row>50</xdr:row>
      <xdr:rowOff>141642</xdr:rowOff>
    </xdr:to>
    <xdr:graphicFrame macro="">
      <xdr:nvGraphicFramePr>
        <xdr:cNvPr id="13" name="Chart 12">
          <a:extLst>
            <a:ext uri="{FF2B5EF4-FFF2-40B4-BE49-F238E27FC236}">
              <a16:creationId xmlns:a16="http://schemas.microsoft.com/office/drawing/2014/main" id="{B0F0B729-9462-46C7-B11D-E228ED16A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152848</xdr:colOff>
      <xdr:row>38</xdr:row>
      <xdr:rowOff>86062</xdr:rowOff>
    </xdr:from>
    <xdr:to>
      <xdr:col>9</xdr:col>
      <xdr:colOff>466613</xdr:colOff>
      <xdr:row>50</xdr:row>
      <xdr:rowOff>121920</xdr:rowOff>
    </xdr:to>
    <xdr:graphicFrame macro="">
      <xdr:nvGraphicFramePr>
        <xdr:cNvPr id="14" name="Chart 13">
          <a:extLst>
            <a:ext uri="{FF2B5EF4-FFF2-40B4-BE49-F238E27FC236}">
              <a16:creationId xmlns:a16="http://schemas.microsoft.com/office/drawing/2014/main" id="{9CF002CC-9295-40DC-92A6-F7F13A9F4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300765</xdr:colOff>
      <xdr:row>42</xdr:row>
      <xdr:rowOff>152848</xdr:rowOff>
    </xdr:from>
    <xdr:to>
      <xdr:col>25</xdr:col>
      <xdr:colOff>390413</xdr:colOff>
      <xdr:row>50</xdr:row>
      <xdr:rowOff>51994</xdr:rowOff>
    </xdr:to>
    <xdr:pic>
      <xdr:nvPicPr>
        <xdr:cNvPr id="16" name="Picture 15">
          <a:extLst>
            <a:ext uri="{FF2B5EF4-FFF2-40B4-BE49-F238E27FC236}">
              <a16:creationId xmlns:a16="http://schemas.microsoft.com/office/drawing/2014/main" id="{092DF703-BA52-2D41-036B-4B8009896DD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102365" y="7833808"/>
          <a:ext cx="2528048" cy="13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502920</xdr:colOff>
      <xdr:row>8</xdr:row>
      <xdr:rowOff>60960</xdr:rowOff>
    </xdr:from>
    <xdr:to>
      <xdr:col>8</xdr:col>
      <xdr:colOff>167640</xdr:colOff>
      <xdr:row>14</xdr:row>
      <xdr:rowOff>30480</xdr:rowOff>
    </xdr:to>
    <xdr:sp macro="" textlink="">
      <xdr:nvSpPr>
        <xdr:cNvPr id="15" name="Rectangle: Rounded Corners 14">
          <a:extLst>
            <a:ext uri="{FF2B5EF4-FFF2-40B4-BE49-F238E27FC236}">
              <a16:creationId xmlns:a16="http://schemas.microsoft.com/office/drawing/2014/main" id="{196C1882-EBCF-9A84-C73A-67F4EE14DC50}"/>
            </a:ext>
          </a:extLst>
        </xdr:cNvPr>
        <xdr:cNvSpPr/>
      </xdr:nvSpPr>
      <xdr:spPr>
        <a:xfrm>
          <a:off x="2331720" y="1524000"/>
          <a:ext cx="2712720" cy="10668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400" b="1"/>
            <a:t>OVERALL SATISFACTION SCORE</a:t>
          </a:r>
        </a:p>
        <a:p>
          <a:pPr algn="l"/>
          <a:endParaRPr lang="en-IN" sz="1200" b="1"/>
        </a:p>
        <a:p>
          <a:pPr algn="l"/>
          <a:r>
            <a:rPr lang="en-IN" sz="1800" b="1"/>
            <a:t>                   3.06</a:t>
          </a:r>
        </a:p>
      </xdr:txBody>
    </xdr:sp>
    <xdr:clientData/>
  </xdr:twoCellAnchor>
  <xdr:twoCellAnchor>
    <xdr:from>
      <xdr:col>8</xdr:col>
      <xdr:colOff>228600</xdr:colOff>
      <xdr:row>8</xdr:row>
      <xdr:rowOff>45720</xdr:rowOff>
    </xdr:from>
    <xdr:to>
      <xdr:col>11</xdr:col>
      <xdr:colOff>106680</xdr:colOff>
      <xdr:row>14</xdr:row>
      <xdr:rowOff>45720</xdr:rowOff>
    </xdr:to>
    <xdr:sp macro="" textlink="">
      <xdr:nvSpPr>
        <xdr:cNvPr id="17" name="Rectangle: Rounded Corners 16">
          <a:extLst>
            <a:ext uri="{FF2B5EF4-FFF2-40B4-BE49-F238E27FC236}">
              <a16:creationId xmlns:a16="http://schemas.microsoft.com/office/drawing/2014/main" id="{F9450AE0-8BFB-4448-38FC-B00AAA5C5928}"/>
            </a:ext>
          </a:extLst>
        </xdr:cNvPr>
        <xdr:cNvSpPr/>
      </xdr:nvSpPr>
      <xdr:spPr>
        <a:xfrm>
          <a:off x="5105400" y="1508760"/>
          <a:ext cx="1706880" cy="10972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r>
            <a:rPr lang="en-IN" sz="1400" b="1"/>
            <a:t>PROMOTERS</a:t>
          </a:r>
        </a:p>
        <a:p>
          <a:pPr algn="l"/>
          <a:endParaRPr lang="en-IN" sz="1400" b="1"/>
        </a:p>
        <a:p>
          <a:pPr algn="l"/>
          <a:r>
            <a:rPr lang="en-IN" sz="1800" b="1"/>
            <a:t>              43   </a:t>
          </a:r>
        </a:p>
      </xdr:txBody>
    </xdr:sp>
    <xdr:clientData/>
  </xdr:twoCellAnchor>
  <xdr:twoCellAnchor>
    <xdr:from>
      <xdr:col>11</xdr:col>
      <xdr:colOff>152400</xdr:colOff>
      <xdr:row>8</xdr:row>
      <xdr:rowOff>60960</xdr:rowOff>
    </xdr:from>
    <xdr:to>
      <xdr:col>14</xdr:col>
      <xdr:colOff>30480</xdr:colOff>
      <xdr:row>14</xdr:row>
      <xdr:rowOff>45720</xdr:rowOff>
    </xdr:to>
    <xdr:sp macro="" textlink="">
      <xdr:nvSpPr>
        <xdr:cNvPr id="18" name="Rectangle: Rounded Corners 17">
          <a:extLst>
            <a:ext uri="{FF2B5EF4-FFF2-40B4-BE49-F238E27FC236}">
              <a16:creationId xmlns:a16="http://schemas.microsoft.com/office/drawing/2014/main" id="{3109424A-3E06-ECC4-5CB5-CA6DCAE9AF2F}"/>
            </a:ext>
          </a:extLst>
        </xdr:cNvPr>
        <xdr:cNvSpPr/>
      </xdr:nvSpPr>
      <xdr:spPr>
        <a:xfrm>
          <a:off x="6858000" y="1524000"/>
          <a:ext cx="1706880" cy="10820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400"/>
            <a:t>        </a:t>
          </a:r>
          <a:r>
            <a:rPr lang="en-IN" sz="1400" b="1"/>
            <a:t>DETRACTORS</a:t>
          </a:r>
        </a:p>
        <a:p>
          <a:pPr algn="l"/>
          <a:endParaRPr lang="en-IN" sz="1400" b="1"/>
        </a:p>
        <a:p>
          <a:pPr algn="l"/>
          <a:r>
            <a:rPr lang="en-IN" sz="1800" b="1"/>
            <a:t>               38</a:t>
          </a:r>
        </a:p>
      </xdr:txBody>
    </xdr:sp>
    <xdr:clientData/>
  </xdr:twoCellAnchor>
  <xdr:twoCellAnchor>
    <xdr:from>
      <xdr:col>14</xdr:col>
      <xdr:colOff>76200</xdr:colOff>
      <xdr:row>8</xdr:row>
      <xdr:rowOff>45720</xdr:rowOff>
    </xdr:from>
    <xdr:to>
      <xdr:col>16</xdr:col>
      <xdr:colOff>91440</xdr:colOff>
      <xdr:row>14</xdr:row>
      <xdr:rowOff>60960</xdr:rowOff>
    </xdr:to>
    <xdr:sp macro="" textlink="">
      <xdr:nvSpPr>
        <xdr:cNvPr id="19" name="Rectangle: Rounded Corners 18">
          <a:extLst>
            <a:ext uri="{FF2B5EF4-FFF2-40B4-BE49-F238E27FC236}">
              <a16:creationId xmlns:a16="http://schemas.microsoft.com/office/drawing/2014/main" id="{1C082C9D-5339-746F-FF57-85EF6576BDC8}"/>
            </a:ext>
          </a:extLst>
        </xdr:cNvPr>
        <xdr:cNvSpPr/>
      </xdr:nvSpPr>
      <xdr:spPr>
        <a:xfrm>
          <a:off x="8610600" y="1508760"/>
          <a:ext cx="1234440" cy="11125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b="1"/>
            <a:t>           </a:t>
          </a:r>
          <a:r>
            <a:rPr lang="en-IN" sz="1600" b="1"/>
            <a:t>NPS</a:t>
          </a:r>
        </a:p>
        <a:p>
          <a:pPr algn="l"/>
          <a:endParaRPr lang="en-IN" sz="1600" b="1"/>
        </a:p>
        <a:p>
          <a:pPr algn="l"/>
          <a:r>
            <a:rPr lang="en-IN" sz="1800" b="1"/>
            <a:t>           5</a:t>
          </a:r>
        </a:p>
      </xdr:txBody>
    </xdr:sp>
    <xdr:clientData/>
  </xdr:twoCellAnchor>
  <xdr:twoCellAnchor>
    <xdr:from>
      <xdr:col>16</xdr:col>
      <xdr:colOff>121920</xdr:colOff>
      <xdr:row>8</xdr:row>
      <xdr:rowOff>45720</xdr:rowOff>
    </xdr:from>
    <xdr:to>
      <xdr:col>19</xdr:col>
      <xdr:colOff>350520</xdr:colOff>
      <xdr:row>14</xdr:row>
      <xdr:rowOff>106680</xdr:rowOff>
    </xdr:to>
    <xdr:sp macro="" textlink="">
      <xdr:nvSpPr>
        <xdr:cNvPr id="20" name="Rectangle: Rounded Corners 19">
          <a:extLst>
            <a:ext uri="{FF2B5EF4-FFF2-40B4-BE49-F238E27FC236}">
              <a16:creationId xmlns:a16="http://schemas.microsoft.com/office/drawing/2014/main" id="{8F0B61E0-8D3B-7EBD-76CE-E2A5A6257C48}"/>
            </a:ext>
          </a:extLst>
        </xdr:cNvPr>
        <xdr:cNvSpPr/>
      </xdr:nvSpPr>
      <xdr:spPr>
        <a:xfrm>
          <a:off x="9875520" y="1508760"/>
          <a:ext cx="2057400" cy="115824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600" b="1"/>
            <a:t>RESOLUTION</a:t>
          </a:r>
          <a:r>
            <a:rPr lang="en-IN" sz="1600" b="1" baseline="0"/>
            <a:t> RATE</a:t>
          </a:r>
        </a:p>
        <a:p>
          <a:pPr algn="l"/>
          <a:endParaRPr lang="en-IN" sz="1600" b="1" baseline="0"/>
        </a:p>
        <a:p>
          <a:pPr algn="l"/>
          <a:r>
            <a:rPr lang="en-IN" sz="1800" b="1" baseline="0"/>
            <a:t>                  80</a:t>
          </a:r>
          <a:endParaRPr lang="en-IN" sz="1800" b="1"/>
        </a:p>
      </xdr:txBody>
    </xdr:sp>
    <xdr:clientData/>
  </xdr:twoCellAnchor>
  <xdr:twoCellAnchor>
    <xdr:from>
      <xdr:col>19</xdr:col>
      <xdr:colOff>426720</xdr:colOff>
      <xdr:row>8</xdr:row>
      <xdr:rowOff>45720</xdr:rowOff>
    </xdr:from>
    <xdr:to>
      <xdr:col>23</xdr:col>
      <xdr:colOff>533400</xdr:colOff>
      <xdr:row>14</xdr:row>
      <xdr:rowOff>152400</xdr:rowOff>
    </xdr:to>
    <xdr:sp macro="" textlink="">
      <xdr:nvSpPr>
        <xdr:cNvPr id="21" name="Rectangle: Rounded Corners 20">
          <a:extLst>
            <a:ext uri="{FF2B5EF4-FFF2-40B4-BE49-F238E27FC236}">
              <a16:creationId xmlns:a16="http://schemas.microsoft.com/office/drawing/2014/main" id="{C813084E-3ACD-9831-0E22-23D465780C30}"/>
            </a:ext>
          </a:extLst>
        </xdr:cNvPr>
        <xdr:cNvSpPr/>
      </xdr:nvSpPr>
      <xdr:spPr>
        <a:xfrm>
          <a:off x="12009120" y="1508760"/>
          <a:ext cx="2545080" cy="12039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600" b="1"/>
            <a:t>AVERAGE RESPONSE TIME</a:t>
          </a:r>
        </a:p>
        <a:p>
          <a:pPr algn="l"/>
          <a:endParaRPr lang="en-IN" sz="1600" b="1"/>
        </a:p>
        <a:p>
          <a:pPr algn="l"/>
          <a:r>
            <a:rPr lang="en-IN" sz="1800" b="1"/>
            <a:t>                     38.125</a:t>
          </a:r>
        </a:p>
      </xdr:txBody>
    </xdr:sp>
    <xdr:clientData/>
  </xdr:twoCellAnchor>
  <xdr:twoCellAnchor>
    <xdr:from>
      <xdr:col>24</xdr:col>
      <xdr:colOff>15240</xdr:colOff>
      <xdr:row>8</xdr:row>
      <xdr:rowOff>60960</xdr:rowOff>
    </xdr:from>
    <xdr:to>
      <xdr:col>27</xdr:col>
      <xdr:colOff>167640</xdr:colOff>
      <xdr:row>15</xdr:row>
      <xdr:rowOff>0</xdr:rowOff>
    </xdr:to>
    <xdr:sp macro="" textlink="">
      <xdr:nvSpPr>
        <xdr:cNvPr id="22" name="Rectangle: Rounded Corners 21">
          <a:extLst>
            <a:ext uri="{FF2B5EF4-FFF2-40B4-BE49-F238E27FC236}">
              <a16:creationId xmlns:a16="http://schemas.microsoft.com/office/drawing/2014/main" id="{8EC5A6A1-50A5-0D7F-55F0-8EED7B526084}"/>
            </a:ext>
          </a:extLst>
        </xdr:cNvPr>
        <xdr:cNvSpPr/>
      </xdr:nvSpPr>
      <xdr:spPr>
        <a:xfrm>
          <a:off x="14645640" y="1524000"/>
          <a:ext cx="1981200" cy="12192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600" b="1"/>
            <a:t>FEEDBACK COUNT</a:t>
          </a:r>
        </a:p>
        <a:p>
          <a:pPr algn="l"/>
          <a:endParaRPr lang="en-IN" sz="1600" b="1"/>
        </a:p>
        <a:p>
          <a:pPr algn="l"/>
          <a:r>
            <a:rPr lang="en-IN" sz="1800" b="1"/>
            <a:t>            </a:t>
          </a:r>
          <a:r>
            <a:rPr lang="en-IN" sz="1800" b="1" baseline="0"/>
            <a:t> </a:t>
          </a:r>
          <a:r>
            <a:rPr lang="en-IN" sz="1800" b="1"/>
            <a:t>100</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mal" refreshedDate="46183.963579629628" createdVersion="8" refreshedVersion="8" minRefreshableVersion="3" recordCount="100" xr:uid="{4D52CB87-6F12-4F0C-A380-096A41D311E2}">
  <cacheSource type="worksheet">
    <worksheetSource ref="A1:J101" sheet="Sheet1"/>
  </cacheSource>
  <cacheFields count="12">
    <cacheField name="Customer ID" numFmtId="0">
      <sharedItems/>
    </cacheField>
    <cacheField name="Date" numFmtId="22">
      <sharedItems containsSemiMixedTypes="0" containsNonDate="0" containsDate="1" containsString="0" minDate="2024-01-01T00:00:00" maxDate="2024-04-10T00:00:00" count="66">
        <d v="2024-04-03T00:00:00"/>
        <d v="2024-02-20T00:00:00"/>
        <d v="2024-03-02T00:00:00"/>
        <d v="2024-02-26T00:00:00"/>
        <d v="2024-03-06T00:00:00"/>
        <d v="2024-03-19T00:00:00"/>
        <d v="2024-03-15T00:00:00"/>
        <d v="2024-01-08T00:00:00"/>
        <d v="2024-01-26T00:00:00"/>
        <d v="2024-02-14T00:00:00"/>
        <d v="2024-02-13T00:00:00"/>
        <d v="2024-01-05T00:00:00"/>
        <d v="2024-03-10T00:00:00"/>
        <d v="2024-03-08T00:00:00"/>
        <d v="2024-01-19T00:00:00"/>
        <d v="2024-03-24T00:00:00"/>
        <d v="2024-04-06T00:00:00"/>
        <d v="2024-01-20T00:00:00"/>
        <d v="2024-01-12T00:00:00"/>
        <d v="2024-02-16T00:00:00"/>
        <d v="2024-01-01T00:00:00"/>
        <d v="2024-03-30T00:00:00"/>
        <d v="2024-01-14T00:00:00"/>
        <d v="2024-03-04T00:00:00"/>
        <d v="2024-02-07T00:00:00"/>
        <d v="2024-02-06T00:00:00"/>
        <d v="2024-01-11T00:00:00"/>
        <d v="2024-04-09T00:00:00"/>
        <d v="2024-03-17T00:00:00"/>
        <d v="2024-01-03T00:00:00"/>
        <d v="2024-02-02T00:00:00"/>
        <d v="2024-01-06T00:00:00"/>
        <d v="2024-02-19T00:00:00"/>
        <d v="2024-01-10T00:00:00"/>
        <d v="2024-01-23T00:00:00"/>
        <d v="2024-01-02T00:00:00"/>
        <d v="2024-01-13T00:00:00"/>
        <d v="2024-02-09T00:00:00"/>
        <d v="2024-03-05T00:00:00"/>
        <d v="2024-03-03T00:00:00"/>
        <d v="2024-03-13T00:00:00"/>
        <d v="2024-01-17T00:00:00"/>
        <d v="2024-01-09T00:00:00"/>
        <d v="2024-01-15T00:00:00"/>
        <d v="2024-01-24T00:00:00"/>
        <d v="2024-02-04T00:00:00"/>
        <d v="2024-04-04T00:00:00"/>
        <d v="2024-02-18T00:00:00"/>
        <d v="2024-03-09T00:00:00"/>
        <d v="2024-02-29T00:00:00"/>
        <d v="2024-03-18T00:00:00"/>
        <d v="2024-02-03T00:00:00"/>
        <d v="2024-03-16T00:00:00"/>
        <d v="2024-04-08T00:00:00"/>
        <d v="2024-01-22T00:00:00"/>
        <d v="2024-04-02T00:00:00"/>
        <d v="2024-03-12T00:00:00"/>
        <d v="2024-01-30T00:00:00"/>
        <d v="2024-03-25T00:00:00"/>
        <d v="2024-03-23T00:00:00"/>
        <d v="2024-01-04T00:00:00"/>
        <d v="2024-03-29T00:00:00"/>
        <d v="2024-02-11T00:00:00"/>
        <d v="2024-01-18T00:00:00"/>
        <d v="2024-02-08T00:00:00"/>
        <d v="2024-02-01T00:00:00"/>
      </sharedItems>
      <fieldGroup par="11"/>
    </cacheField>
    <cacheField name="Service Rating" numFmtId="0">
      <sharedItems containsSemiMixedTypes="0" containsString="0" containsNumber="1" containsInteger="1" minValue="1" maxValue="5" count="5">
        <n v="5"/>
        <n v="1"/>
        <n v="2"/>
        <n v="3"/>
        <n v="4"/>
      </sharedItems>
    </cacheField>
    <cacheField name="Feedback Category" numFmtId="0">
      <sharedItems count="5">
        <s v="Website"/>
        <s v="Billing"/>
        <s v="Service"/>
        <s v="Product"/>
        <s v="Other"/>
      </sharedItems>
    </cacheField>
    <cacheField name="Response Time (hours)" numFmtId="0">
      <sharedItems containsSemiMixedTypes="0" containsString="0" containsNumber="1" minValue="1.2" maxValue="71" count="96">
        <n v="24.8"/>
        <n v="59.6"/>
        <n v="26.8"/>
        <n v="3.4"/>
        <n v="60"/>
        <n v="25.5"/>
        <n v="55.9"/>
        <n v="62.1"/>
        <n v="16.600000000000001"/>
        <n v="70.2"/>
        <n v="56.4"/>
        <n v="9.1"/>
        <n v="41.2"/>
        <n v="71"/>
        <n v="34.4"/>
        <n v="13.9"/>
        <n v="35.4"/>
        <n v="37.4"/>
        <n v="53.7"/>
        <n v="50.6"/>
        <n v="29.6"/>
        <n v="16.5"/>
        <n v="46.8"/>
        <n v="30.9"/>
        <n v="10.4"/>
        <n v="64.900000000000006"/>
        <n v="50.1"/>
        <n v="49.5"/>
        <n v="59.4"/>
        <n v="38.6"/>
        <n v="58.9"/>
        <n v="36.4"/>
        <n v="5.8"/>
        <n v="29.8"/>
        <n v="36.299999999999997"/>
        <n v="52.1"/>
        <n v="8.6"/>
        <n v="10.9"/>
        <n v="19.7"/>
        <n v="19.899999999999999"/>
        <n v="53"/>
        <n v="18.8"/>
        <n v="45.9"/>
        <n v="36.1"/>
        <n v="41.7"/>
        <n v="60.5"/>
        <n v="29.7"/>
        <n v="55.7"/>
        <n v="31"/>
        <n v="26.1"/>
        <n v="69.099999999999994"/>
        <n v="14.1"/>
        <n v="7.4"/>
        <n v="60.4"/>
        <n v="32"/>
        <n v="66"/>
        <n v="52.2"/>
        <n v="44.3"/>
        <n v="68.400000000000006"/>
        <n v="29.2"/>
        <n v="68.7"/>
        <n v="10.6"/>
        <n v="35.299999999999997"/>
        <n v="20.2"/>
        <n v="39.299999999999997"/>
        <n v="12.5"/>
        <n v="60.7"/>
        <n v="61.1"/>
        <n v="68.8"/>
        <n v="12"/>
        <n v="45.3"/>
        <n v="34.700000000000003"/>
        <n v="26"/>
        <n v="30.3"/>
        <n v="51"/>
        <n v="43.5"/>
        <n v="33.6"/>
        <n v="6.4"/>
        <n v="6.5"/>
        <n v="1.2"/>
        <n v="69.7"/>
        <n v="1.4"/>
        <n v="8.3000000000000007"/>
        <n v="23.3"/>
        <n v="58.3"/>
        <n v="69.3"/>
        <n v="57.1"/>
        <n v="50"/>
        <n v="38"/>
        <n v="7.2"/>
        <n v="69"/>
        <n v="54.8"/>
        <n v="46.4"/>
        <n v="54.9"/>
        <n v="52.4"/>
        <n v="46.2"/>
      </sharedItems>
    </cacheField>
    <cacheField name="Issue Resolved" numFmtId="0">
      <sharedItems count="2">
        <s v="No"/>
        <s v="Yes"/>
      </sharedItems>
    </cacheField>
    <cacheField name="PROMOTERS" numFmtId="0">
      <sharedItems containsString="0" containsBlank="1" containsNumber="1" containsInteger="1" minValue="0" maxValue="0" count="2">
        <n v="0"/>
        <m/>
      </sharedItems>
    </cacheField>
    <cacheField name="DETRACTORS" numFmtId="0">
      <sharedItems containsNonDate="0" containsString="0" containsBlank="1" count="1">
        <m/>
      </sharedItems>
    </cacheField>
    <cacheField name="NPS" numFmtId="0">
      <sharedItems containsNonDate="0" containsString="0" containsBlank="1" count="1">
        <m/>
      </sharedItems>
    </cacheField>
    <cacheField name="RESOLUTION RATE" numFmtId="0">
      <sharedItems containsNonDate="0" containsString="0" containsBlank="1" count="1">
        <m/>
      </sharedItems>
    </cacheField>
    <cacheField name="Days (Date)" numFmtId="0" databaseField="0">
      <fieldGroup base="1">
        <rangePr groupBy="days" startDate="2024-01-01T00:00:00" endDate="2024-04-10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04-2024"/>
        </groupItems>
      </fieldGroup>
    </cacheField>
    <cacheField name="Months (Date)" numFmtId="0" databaseField="0">
      <fieldGroup base="1">
        <rangePr groupBy="months" startDate="2024-01-01T00:00:00" endDate="2024-04-10T00:00:00"/>
        <groupItems count="14">
          <s v="&lt;01-01-2024"/>
          <s v="Jan"/>
          <s v="Feb"/>
          <s v="Mar"/>
          <s v="Apr"/>
          <s v="May"/>
          <s v="Jun"/>
          <s v="Jul"/>
          <s v="Aug"/>
          <s v="Sep"/>
          <s v="Oct"/>
          <s v="Nov"/>
          <s v="Dec"/>
          <s v="&gt;10-04-2024"/>
        </groupItems>
      </fieldGroup>
    </cacheField>
  </cacheFields>
  <extLst>
    <ext xmlns:x14="http://schemas.microsoft.com/office/spreadsheetml/2009/9/main" uri="{725AE2AE-9491-48be-B2B4-4EB974FC3084}">
      <x14:pivotCacheDefinition pivotCacheId="500900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1000"/>
    <x v="0"/>
    <x v="0"/>
    <x v="0"/>
    <x v="0"/>
    <x v="0"/>
    <x v="0"/>
    <x v="0"/>
    <x v="0"/>
    <x v="0"/>
  </r>
  <r>
    <s v="C1001"/>
    <x v="1"/>
    <x v="1"/>
    <x v="1"/>
    <x v="1"/>
    <x v="0"/>
    <x v="1"/>
    <x v="0"/>
    <x v="0"/>
    <x v="0"/>
  </r>
  <r>
    <s v="C1002"/>
    <x v="2"/>
    <x v="1"/>
    <x v="2"/>
    <x v="2"/>
    <x v="1"/>
    <x v="1"/>
    <x v="0"/>
    <x v="0"/>
    <x v="0"/>
  </r>
  <r>
    <s v="C1003"/>
    <x v="3"/>
    <x v="1"/>
    <x v="3"/>
    <x v="3"/>
    <x v="1"/>
    <x v="1"/>
    <x v="0"/>
    <x v="0"/>
    <x v="0"/>
  </r>
  <r>
    <s v="C1004"/>
    <x v="4"/>
    <x v="1"/>
    <x v="2"/>
    <x v="4"/>
    <x v="1"/>
    <x v="1"/>
    <x v="0"/>
    <x v="0"/>
    <x v="0"/>
  </r>
  <r>
    <s v="C1005"/>
    <x v="5"/>
    <x v="1"/>
    <x v="2"/>
    <x v="5"/>
    <x v="1"/>
    <x v="1"/>
    <x v="0"/>
    <x v="0"/>
    <x v="0"/>
  </r>
  <r>
    <s v="C1006"/>
    <x v="6"/>
    <x v="2"/>
    <x v="3"/>
    <x v="6"/>
    <x v="1"/>
    <x v="1"/>
    <x v="0"/>
    <x v="0"/>
    <x v="0"/>
  </r>
  <r>
    <s v="C1007"/>
    <x v="7"/>
    <x v="0"/>
    <x v="2"/>
    <x v="2"/>
    <x v="1"/>
    <x v="1"/>
    <x v="0"/>
    <x v="0"/>
    <x v="0"/>
  </r>
  <r>
    <s v="C1008"/>
    <x v="8"/>
    <x v="3"/>
    <x v="3"/>
    <x v="7"/>
    <x v="0"/>
    <x v="1"/>
    <x v="0"/>
    <x v="0"/>
    <x v="0"/>
  </r>
  <r>
    <s v="C1009"/>
    <x v="1"/>
    <x v="3"/>
    <x v="1"/>
    <x v="8"/>
    <x v="1"/>
    <x v="1"/>
    <x v="0"/>
    <x v="0"/>
    <x v="0"/>
  </r>
  <r>
    <s v="C1010"/>
    <x v="9"/>
    <x v="3"/>
    <x v="3"/>
    <x v="9"/>
    <x v="1"/>
    <x v="1"/>
    <x v="0"/>
    <x v="0"/>
    <x v="0"/>
  </r>
  <r>
    <s v="C1011"/>
    <x v="10"/>
    <x v="3"/>
    <x v="3"/>
    <x v="10"/>
    <x v="1"/>
    <x v="1"/>
    <x v="0"/>
    <x v="0"/>
    <x v="0"/>
  </r>
  <r>
    <s v="C1012"/>
    <x v="11"/>
    <x v="2"/>
    <x v="0"/>
    <x v="11"/>
    <x v="1"/>
    <x v="1"/>
    <x v="0"/>
    <x v="0"/>
    <x v="0"/>
  </r>
  <r>
    <s v="C1013"/>
    <x v="12"/>
    <x v="4"/>
    <x v="3"/>
    <x v="12"/>
    <x v="1"/>
    <x v="1"/>
    <x v="0"/>
    <x v="0"/>
    <x v="0"/>
  </r>
  <r>
    <s v="C1014"/>
    <x v="8"/>
    <x v="0"/>
    <x v="3"/>
    <x v="13"/>
    <x v="1"/>
    <x v="1"/>
    <x v="0"/>
    <x v="0"/>
    <x v="0"/>
  </r>
  <r>
    <s v="C1015"/>
    <x v="13"/>
    <x v="1"/>
    <x v="1"/>
    <x v="14"/>
    <x v="1"/>
    <x v="1"/>
    <x v="0"/>
    <x v="0"/>
    <x v="0"/>
  </r>
  <r>
    <s v="C1016"/>
    <x v="14"/>
    <x v="4"/>
    <x v="0"/>
    <x v="15"/>
    <x v="1"/>
    <x v="1"/>
    <x v="0"/>
    <x v="0"/>
    <x v="0"/>
  </r>
  <r>
    <s v="C1017"/>
    <x v="15"/>
    <x v="3"/>
    <x v="4"/>
    <x v="16"/>
    <x v="1"/>
    <x v="1"/>
    <x v="0"/>
    <x v="0"/>
    <x v="0"/>
  </r>
  <r>
    <s v="C1018"/>
    <x v="16"/>
    <x v="4"/>
    <x v="1"/>
    <x v="17"/>
    <x v="1"/>
    <x v="1"/>
    <x v="0"/>
    <x v="0"/>
    <x v="0"/>
  </r>
  <r>
    <s v="C1019"/>
    <x v="17"/>
    <x v="0"/>
    <x v="1"/>
    <x v="18"/>
    <x v="1"/>
    <x v="1"/>
    <x v="0"/>
    <x v="0"/>
    <x v="0"/>
  </r>
  <r>
    <s v="C1020"/>
    <x v="18"/>
    <x v="1"/>
    <x v="4"/>
    <x v="19"/>
    <x v="1"/>
    <x v="1"/>
    <x v="0"/>
    <x v="0"/>
    <x v="0"/>
  </r>
  <r>
    <s v="C1021"/>
    <x v="19"/>
    <x v="1"/>
    <x v="3"/>
    <x v="20"/>
    <x v="1"/>
    <x v="1"/>
    <x v="0"/>
    <x v="0"/>
    <x v="0"/>
  </r>
  <r>
    <s v="C1022"/>
    <x v="20"/>
    <x v="0"/>
    <x v="2"/>
    <x v="21"/>
    <x v="1"/>
    <x v="1"/>
    <x v="0"/>
    <x v="0"/>
    <x v="0"/>
  </r>
  <r>
    <s v="C1023"/>
    <x v="21"/>
    <x v="0"/>
    <x v="0"/>
    <x v="22"/>
    <x v="1"/>
    <x v="1"/>
    <x v="0"/>
    <x v="0"/>
    <x v="0"/>
  </r>
  <r>
    <s v="C1024"/>
    <x v="22"/>
    <x v="3"/>
    <x v="2"/>
    <x v="23"/>
    <x v="1"/>
    <x v="1"/>
    <x v="0"/>
    <x v="0"/>
    <x v="0"/>
  </r>
  <r>
    <s v="C1025"/>
    <x v="23"/>
    <x v="1"/>
    <x v="4"/>
    <x v="24"/>
    <x v="1"/>
    <x v="1"/>
    <x v="0"/>
    <x v="0"/>
    <x v="0"/>
  </r>
  <r>
    <s v="C1026"/>
    <x v="24"/>
    <x v="4"/>
    <x v="1"/>
    <x v="25"/>
    <x v="1"/>
    <x v="1"/>
    <x v="0"/>
    <x v="0"/>
    <x v="0"/>
  </r>
  <r>
    <s v="C1027"/>
    <x v="25"/>
    <x v="2"/>
    <x v="1"/>
    <x v="26"/>
    <x v="0"/>
    <x v="1"/>
    <x v="0"/>
    <x v="0"/>
    <x v="0"/>
  </r>
  <r>
    <s v="C1028"/>
    <x v="26"/>
    <x v="2"/>
    <x v="0"/>
    <x v="27"/>
    <x v="1"/>
    <x v="1"/>
    <x v="0"/>
    <x v="0"/>
    <x v="0"/>
  </r>
  <r>
    <s v="C1029"/>
    <x v="27"/>
    <x v="0"/>
    <x v="1"/>
    <x v="28"/>
    <x v="1"/>
    <x v="1"/>
    <x v="0"/>
    <x v="0"/>
    <x v="0"/>
  </r>
  <r>
    <s v="C1030"/>
    <x v="28"/>
    <x v="3"/>
    <x v="1"/>
    <x v="29"/>
    <x v="1"/>
    <x v="1"/>
    <x v="0"/>
    <x v="0"/>
    <x v="0"/>
  </r>
  <r>
    <s v="C1031"/>
    <x v="29"/>
    <x v="2"/>
    <x v="0"/>
    <x v="30"/>
    <x v="1"/>
    <x v="1"/>
    <x v="0"/>
    <x v="0"/>
    <x v="0"/>
  </r>
  <r>
    <s v="C1032"/>
    <x v="30"/>
    <x v="1"/>
    <x v="0"/>
    <x v="31"/>
    <x v="0"/>
    <x v="1"/>
    <x v="0"/>
    <x v="0"/>
    <x v="0"/>
  </r>
  <r>
    <s v="C1033"/>
    <x v="31"/>
    <x v="0"/>
    <x v="4"/>
    <x v="32"/>
    <x v="1"/>
    <x v="1"/>
    <x v="0"/>
    <x v="0"/>
    <x v="0"/>
  </r>
  <r>
    <s v="C1034"/>
    <x v="32"/>
    <x v="4"/>
    <x v="1"/>
    <x v="33"/>
    <x v="1"/>
    <x v="1"/>
    <x v="0"/>
    <x v="0"/>
    <x v="0"/>
  </r>
  <r>
    <s v="C1035"/>
    <x v="33"/>
    <x v="0"/>
    <x v="1"/>
    <x v="34"/>
    <x v="1"/>
    <x v="1"/>
    <x v="0"/>
    <x v="0"/>
    <x v="0"/>
  </r>
  <r>
    <s v="C1036"/>
    <x v="11"/>
    <x v="4"/>
    <x v="4"/>
    <x v="35"/>
    <x v="1"/>
    <x v="1"/>
    <x v="0"/>
    <x v="0"/>
    <x v="0"/>
  </r>
  <r>
    <s v="C1037"/>
    <x v="34"/>
    <x v="0"/>
    <x v="3"/>
    <x v="36"/>
    <x v="1"/>
    <x v="1"/>
    <x v="0"/>
    <x v="0"/>
    <x v="0"/>
  </r>
  <r>
    <s v="C1038"/>
    <x v="33"/>
    <x v="0"/>
    <x v="3"/>
    <x v="37"/>
    <x v="0"/>
    <x v="1"/>
    <x v="0"/>
    <x v="0"/>
    <x v="0"/>
  </r>
  <r>
    <s v="C1039"/>
    <x v="10"/>
    <x v="0"/>
    <x v="3"/>
    <x v="38"/>
    <x v="1"/>
    <x v="1"/>
    <x v="0"/>
    <x v="0"/>
    <x v="0"/>
  </r>
  <r>
    <s v="C1040"/>
    <x v="35"/>
    <x v="4"/>
    <x v="4"/>
    <x v="39"/>
    <x v="1"/>
    <x v="1"/>
    <x v="0"/>
    <x v="0"/>
    <x v="0"/>
  </r>
  <r>
    <s v="C1041"/>
    <x v="36"/>
    <x v="4"/>
    <x v="1"/>
    <x v="40"/>
    <x v="0"/>
    <x v="1"/>
    <x v="0"/>
    <x v="0"/>
    <x v="0"/>
  </r>
  <r>
    <s v="C1042"/>
    <x v="37"/>
    <x v="0"/>
    <x v="4"/>
    <x v="41"/>
    <x v="1"/>
    <x v="1"/>
    <x v="0"/>
    <x v="0"/>
    <x v="0"/>
  </r>
  <r>
    <s v="C1043"/>
    <x v="35"/>
    <x v="2"/>
    <x v="4"/>
    <x v="42"/>
    <x v="1"/>
    <x v="1"/>
    <x v="0"/>
    <x v="0"/>
    <x v="0"/>
  </r>
  <r>
    <s v="C1044"/>
    <x v="15"/>
    <x v="3"/>
    <x v="3"/>
    <x v="43"/>
    <x v="1"/>
    <x v="1"/>
    <x v="0"/>
    <x v="0"/>
    <x v="0"/>
  </r>
  <r>
    <s v="C1045"/>
    <x v="38"/>
    <x v="3"/>
    <x v="2"/>
    <x v="44"/>
    <x v="0"/>
    <x v="1"/>
    <x v="0"/>
    <x v="0"/>
    <x v="0"/>
  </r>
  <r>
    <s v="C1046"/>
    <x v="39"/>
    <x v="3"/>
    <x v="1"/>
    <x v="45"/>
    <x v="1"/>
    <x v="1"/>
    <x v="0"/>
    <x v="0"/>
    <x v="0"/>
  </r>
  <r>
    <s v="C1047"/>
    <x v="40"/>
    <x v="4"/>
    <x v="3"/>
    <x v="46"/>
    <x v="1"/>
    <x v="1"/>
    <x v="0"/>
    <x v="0"/>
    <x v="0"/>
  </r>
  <r>
    <s v="C1048"/>
    <x v="41"/>
    <x v="4"/>
    <x v="2"/>
    <x v="47"/>
    <x v="1"/>
    <x v="1"/>
    <x v="0"/>
    <x v="0"/>
    <x v="0"/>
  </r>
  <r>
    <s v="C1049"/>
    <x v="42"/>
    <x v="2"/>
    <x v="2"/>
    <x v="48"/>
    <x v="1"/>
    <x v="1"/>
    <x v="0"/>
    <x v="0"/>
    <x v="0"/>
  </r>
  <r>
    <s v="C1050"/>
    <x v="6"/>
    <x v="3"/>
    <x v="0"/>
    <x v="49"/>
    <x v="1"/>
    <x v="1"/>
    <x v="0"/>
    <x v="0"/>
    <x v="0"/>
  </r>
  <r>
    <s v="C1051"/>
    <x v="43"/>
    <x v="3"/>
    <x v="1"/>
    <x v="50"/>
    <x v="1"/>
    <x v="1"/>
    <x v="0"/>
    <x v="0"/>
    <x v="0"/>
  </r>
  <r>
    <s v="C1052"/>
    <x v="44"/>
    <x v="0"/>
    <x v="2"/>
    <x v="51"/>
    <x v="1"/>
    <x v="1"/>
    <x v="0"/>
    <x v="0"/>
    <x v="0"/>
  </r>
  <r>
    <s v="C1053"/>
    <x v="24"/>
    <x v="4"/>
    <x v="3"/>
    <x v="52"/>
    <x v="1"/>
    <x v="1"/>
    <x v="0"/>
    <x v="0"/>
    <x v="0"/>
  </r>
  <r>
    <s v="C1054"/>
    <x v="45"/>
    <x v="3"/>
    <x v="0"/>
    <x v="47"/>
    <x v="1"/>
    <x v="1"/>
    <x v="0"/>
    <x v="0"/>
    <x v="0"/>
  </r>
  <r>
    <s v="C1055"/>
    <x v="0"/>
    <x v="2"/>
    <x v="1"/>
    <x v="32"/>
    <x v="1"/>
    <x v="1"/>
    <x v="0"/>
    <x v="0"/>
    <x v="0"/>
  </r>
  <r>
    <s v="C1056"/>
    <x v="46"/>
    <x v="2"/>
    <x v="4"/>
    <x v="53"/>
    <x v="1"/>
    <x v="1"/>
    <x v="0"/>
    <x v="0"/>
    <x v="0"/>
  </r>
  <r>
    <s v="C1057"/>
    <x v="47"/>
    <x v="3"/>
    <x v="3"/>
    <x v="54"/>
    <x v="1"/>
    <x v="1"/>
    <x v="0"/>
    <x v="0"/>
    <x v="0"/>
  </r>
  <r>
    <s v="C1058"/>
    <x v="48"/>
    <x v="4"/>
    <x v="2"/>
    <x v="55"/>
    <x v="1"/>
    <x v="1"/>
    <x v="0"/>
    <x v="0"/>
    <x v="0"/>
  </r>
  <r>
    <s v="C1059"/>
    <x v="2"/>
    <x v="2"/>
    <x v="2"/>
    <x v="56"/>
    <x v="1"/>
    <x v="1"/>
    <x v="0"/>
    <x v="0"/>
    <x v="0"/>
  </r>
  <r>
    <s v="C1060"/>
    <x v="49"/>
    <x v="0"/>
    <x v="3"/>
    <x v="57"/>
    <x v="1"/>
    <x v="1"/>
    <x v="0"/>
    <x v="0"/>
    <x v="0"/>
  </r>
  <r>
    <s v="C1061"/>
    <x v="32"/>
    <x v="2"/>
    <x v="2"/>
    <x v="58"/>
    <x v="1"/>
    <x v="1"/>
    <x v="0"/>
    <x v="0"/>
    <x v="0"/>
  </r>
  <r>
    <s v="C1062"/>
    <x v="50"/>
    <x v="1"/>
    <x v="0"/>
    <x v="59"/>
    <x v="0"/>
    <x v="1"/>
    <x v="0"/>
    <x v="0"/>
    <x v="0"/>
  </r>
  <r>
    <s v="C1063"/>
    <x v="6"/>
    <x v="1"/>
    <x v="1"/>
    <x v="60"/>
    <x v="1"/>
    <x v="1"/>
    <x v="0"/>
    <x v="0"/>
    <x v="0"/>
  </r>
  <r>
    <s v="C1064"/>
    <x v="42"/>
    <x v="4"/>
    <x v="0"/>
    <x v="61"/>
    <x v="1"/>
    <x v="1"/>
    <x v="0"/>
    <x v="0"/>
    <x v="0"/>
  </r>
  <r>
    <s v="C1065"/>
    <x v="51"/>
    <x v="3"/>
    <x v="2"/>
    <x v="62"/>
    <x v="1"/>
    <x v="1"/>
    <x v="0"/>
    <x v="0"/>
    <x v="0"/>
  </r>
  <r>
    <s v="C1066"/>
    <x v="52"/>
    <x v="4"/>
    <x v="4"/>
    <x v="63"/>
    <x v="0"/>
    <x v="1"/>
    <x v="0"/>
    <x v="0"/>
    <x v="0"/>
  </r>
  <r>
    <s v="C1067"/>
    <x v="53"/>
    <x v="4"/>
    <x v="1"/>
    <x v="64"/>
    <x v="1"/>
    <x v="1"/>
    <x v="0"/>
    <x v="0"/>
    <x v="0"/>
  </r>
  <r>
    <s v="C1068"/>
    <x v="45"/>
    <x v="4"/>
    <x v="1"/>
    <x v="65"/>
    <x v="1"/>
    <x v="1"/>
    <x v="0"/>
    <x v="0"/>
    <x v="0"/>
  </r>
  <r>
    <s v="C1069"/>
    <x v="20"/>
    <x v="4"/>
    <x v="3"/>
    <x v="66"/>
    <x v="1"/>
    <x v="1"/>
    <x v="0"/>
    <x v="0"/>
    <x v="0"/>
  </r>
  <r>
    <s v="C1070"/>
    <x v="37"/>
    <x v="0"/>
    <x v="3"/>
    <x v="67"/>
    <x v="1"/>
    <x v="1"/>
    <x v="0"/>
    <x v="0"/>
    <x v="0"/>
  </r>
  <r>
    <s v="C1071"/>
    <x v="23"/>
    <x v="0"/>
    <x v="4"/>
    <x v="68"/>
    <x v="0"/>
    <x v="1"/>
    <x v="0"/>
    <x v="0"/>
    <x v="0"/>
  </r>
  <r>
    <s v="C1072"/>
    <x v="54"/>
    <x v="2"/>
    <x v="1"/>
    <x v="69"/>
    <x v="1"/>
    <x v="1"/>
    <x v="0"/>
    <x v="0"/>
    <x v="0"/>
  </r>
  <r>
    <s v="C1073"/>
    <x v="49"/>
    <x v="1"/>
    <x v="4"/>
    <x v="70"/>
    <x v="1"/>
    <x v="1"/>
    <x v="0"/>
    <x v="0"/>
    <x v="0"/>
  </r>
  <r>
    <s v="C1074"/>
    <x v="23"/>
    <x v="4"/>
    <x v="3"/>
    <x v="71"/>
    <x v="1"/>
    <x v="1"/>
    <x v="0"/>
    <x v="0"/>
    <x v="0"/>
  </r>
  <r>
    <s v="C1075"/>
    <x v="55"/>
    <x v="2"/>
    <x v="3"/>
    <x v="5"/>
    <x v="0"/>
    <x v="1"/>
    <x v="0"/>
    <x v="0"/>
    <x v="0"/>
  </r>
  <r>
    <s v="C1076"/>
    <x v="56"/>
    <x v="1"/>
    <x v="1"/>
    <x v="72"/>
    <x v="0"/>
    <x v="1"/>
    <x v="0"/>
    <x v="0"/>
    <x v="0"/>
  </r>
  <r>
    <s v="C1077"/>
    <x v="26"/>
    <x v="3"/>
    <x v="0"/>
    <x v="73"/>
    <x v="1"/>
    <x v="1"/>
    <x v="0"/>
    <x v="0"/>
    <x v="0"/>
  </r>
  <r>
    <s v="C1078"/>
    <x v="22"/>
    <x v="0"/>
    <x v="2"/>
    <x v="74"/>
    <x v="0"/>
    <x v="1"/>
    <x v="0"/>
    <x v="0"/>
    <x v="0"/>
  </r>
  <r>
    <s v="C1079"/>
    <x v="49"/>
    <x v="1"/>
    <x v="3"/>
    <x v="75"/>
    <x v="0"/>
    <x v="1"/>
    <x v="0"/>
    <x v="0"/>
    <x v="0"/>
  </r>
  <r>
    <s v="C1080"/>
    <x v="57"/>
    <x v="3"/>
    <x v="3"/>
    <x v="76"/>
    <x v="1"/>
    <x v="1"/>
    <x v="0"/>
    <x v="0"/>
    <x v="0"/>
  </r>
  <r>
    <s v="C1081"/>
    <x v="45"/>
    <x v="1"/>
    <x v="0"/>
    <x v="77"/>
    <x v="1"/>
    <x v="1"/>
    <x v="0"/>
    <x v="0"/>
    <x v="0"/>
  </r>
  <r>
    <s v="C1082"/>
    <x v="58"/>
    <x v="0"/>
    <x v="0"/>
    <x v="78"/>
    <x v="1"/>
    <x v="1"/>
    <x v="0"/>
    <x v="0"/>
    <x v="0"/>
  </r>
  <r>
    <s v="C1083"/>
    <x v="25"/>
    <x v="0"/>
    <x v="4"/>
    <x v="79"/>
    <x v="0"/>
    <x v="1"/>
    <x v="0"/>
    <x v="0"/>
    <x v="0"/>
  </r>
  <r>
    <s v="C1084"/>
    <x v="11"/>
    <x v="2"/>
    <x v="4"/>
    <x v="80"/>
    <x v="1"/>
    <x v="1"/>
    <x v="0"/>
    <x v="0"/>
    <x v="0"/>
  </r>
  <r>
    <s v="C1085"/>
    <x v="59"/>
    <x v="4"/>
    <x v="2"/>
    <x v="81"/>
    <x v="0"/>
    <x v="1"/>
    <x v="0"/>
    <x v="0"/>
    <x v="0"/>
  </r>
  <r>
    <s v="C1086"/>
    <x v="50"/>
    <x v="1"/>
    <x v="2"/>
    <x v="82"/>
    <x v="1"/>
    <x v="1"/>
    <x v="0"/>
    <x v="0"/>
    <x v="0"/>
  </r>
  <r>
    <s v="C1087"/>
    <x v="8"/>
    <x v="1"/>
    <x v="1"/>
    <x v="83"/>
    <x v="1"/>
    <x v="1"/>
    <x v="0"/>
    <x v="0"/>
    <x v="0"/>
  </r>
  <r>
    <s v="C1088"/>
    <x v="2"/>
    <x v="3"/>
    <x v="4"/>
    <x v="84"/>
    <x v="1"/>
    <x v="1"/>
    <x v="0"/>
    <x v="0"/>
    <x v="0"/>
  </r>
  <r>
    <s v="C1089"/>
    <x v="60"/>
    <x v="0"/>
    <x v="3"/>
    <x v="85"/>
    <x v="1"/>
    <x v="1"/>
    <x v="0"/>
    <x v="0"/>
    <x v="0"/>
  </r>
  <r>
    <s v="C1090"/>
    <x v="61"/>
    <x v="1"/>
    <x v="4"/>
    <x v="86"/>
    <x v="0"/>
    <x v="1"/>
    <x v="0"/>
    <x v="0"/>
    <x v="0"/>
  </r>
  <r>
    <s v="C1091"/>
    <x v="62"/>
    <x v="0"/>
    <x v="3"/>
    <x v="87"/>
    <x v="0"/>
    <x v="1"/>
    <x v="0"/>
    <x v="0"/>
    <x v="0"/>
  </r>
  <r>
    <s v="C1092"/>
    <x v="61"/>
    <x v="1"/>
    <x v="0"/>
    <x v="88"/>
    <x v="0"/>
    <x v="1"/>
    <x v="0"/>
    <x v="0"/>
    <x v="0"/>
  </r>
  <r>
    <s v="C1093"/>
    <x v="63"/>
    <x v="2"/>
    <x v="4"/>
    <x v="89"/>
    <x v="1"/>
    <x v="1"/>
    <x v="0"/>
    <x v="0"/>
    <x v="0"/>
  </r>
  <r>
    <s v="C1094"/>
    <x v="37"/>
    <x v="4"/>
    <x v="0"/>
    <x v="90"/>
    <x v="1"/>
    <x v="1"/>
    <x v="0"/>
    <x v="0"/>
    <x v="0"/>
  </r>
  <r>
    <s v="C1095"/>
    <x v="56"/>
    <x v="1"/>
    <x v="2"/>
    <x v="91"/>
    <x v="1"/>
    <x v="1"/>
    <x v="0"/>
    <x v="0"/>
    <x v="0"/>
  </r>
  <r>
    <s v="C1096"/>
    <x v="64"/>
    <x v="0"/>
    <x v="2"/>
    <x v="92"/>
    <x v="1"/>
    <x v="1"/>
    <x v="0"/>
    <x v="0"/>
    <x v="0"/>
  </r>
  <r>
    <s v="C1097"/>
    <x v="22"/>
    <x v="2"/>
    <x v="1"/>
    <x v="93"/>
    <x v="1"/>
    <x v="1"/>
    <x v="0"/>
    <x v="0"/>
    <x v="0"/>
  </r>
  <r>
    <s v="C1098"/>
    <x v="65"/>
    <x v="1"/>
    <x v="4"/>
    <x v="94"/>
    <x v="1"/>
    <x v="1"/>
    <x v="0"/>
    <x v="0"/>
    <x v="0"/>
  </r>
  <r>
    <s v="C1099"/>
    <x v="1"/>
    <x v="3"/>
    <x v="0"/>
    <x v="95"/>
    <x v="1"/>
    <x v="1"/>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50AAA5-3FC2-4BAA-974F-E7ACFD56F3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9" firstHeaderRow="0"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axis="axisRow" dataField="1" showAll="0">
      <items count="6">
        <item x="1"/>
        <item x="2"/>
        <item x="3"/>
        <item x="4"/>
        <item x="0"/>
        <item t="default"/>
      </items>
    </pivotField>
    <pivotField showAll="0">
      <items count="6">
        <item x="1"/>
        <item x="4"/>
        <item x="3"/>
        <item x="2"/>
        <item x="0"/>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Fields count="1">
    <field x="-2"/>
  </colFields>
  <colItems count="2">
    <i>
      <x/>
    </i>
    <i i="1">
      <x v="1"/>
    </i>
  </colItems>
  <dataFields count="2">
    <dataField name="Count of Service Rating" fld="2" subtotal="count" baseField="2" baseItem="0"/>
    <dataField name="percentage of Service Rating" fld="2" showDataAs="percentOfTotal" baseField="2"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5EF201-A873-4843-8C10-526035DCA2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axis="axisRow" dataField="1" showAll="0">
      <items count="6">
        <item x="1"/>
        <item x="4"/>
        <item x="3"/>
        <item x="2"/>
        <item x="0"/>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PERCENTAGE of Feedback Category" fld="3" subtotal="count" showDataAs="percentOfTotal" baseField="3" baseItem="0" numFmtId="10"/>
  </dataFields>
  <chartFormats count="24">
    <chartFormat chart="6"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 chart="3" format="11">
      <pivotArea type="data" outline="0" fieldPosition="0">
        <references count="2">
          <reference field="4294967294" count="1" selected="0">
            <x v="0"/>
          </reference>
          <reference field="3" count="1" selected="0">
            <x v="4"/>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 chart="6" format="11">
      <pivotArea type="data" outline="0" fieldPosition="0">
        <references count="2">
          <reference field="4294967294" count="1" selected="0">
            <x v="0"/>
          </reference>
          <reference field="3" count="1" selected="0">
            <x v="4"/>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3" count="1" selected="0">
            <x v="0"/>
          </reference>
        </references>
      </pivotArea>
    </chartFormat>
    <chartFormat chart="8" format="20">
      <pivotArea type="data" outline="0" fieldPosition="0">
        <references count="2">
          <reference field="4294967294" count="1" selected="0">
            <x v="0"/>
          </reference>
          <reference field="3" count="1" selected="0">
            <x v="1"/>
          </reference>
        </references>
      </pivotArea>
    </chartFormat>
    <chartFormat chart="8" format="21">
      <pivotArea type="data" outline="0" fieldPosition="0">
        <references count="2">
          <reference field="4294967294" count="1" selected="0">
            <x v="0"/>
          </reference>
          <reference field="3" count="1" selected="0">
            <x v="2"/>
          </reference>
        </references>
      </pivotArea>
    </chartFormat>
    <chartFormat chart="8" format="22">
      <pivotArea type="data" outline="0" fieldPosition="0">
        <references count="2">
          <reference field="4294967294" count="1" selected="0">
            <x v="0"/>
          </reference>
          <reference field="3" count="1" selected="0">
            <x v="3"/>
          </reference>
        </references>
      </pivotArea>
    </chartFormat>
    <chartFormat chart="8" format="23">
      <pivotArea type="data" outline="0" fieldPosition="0">
        <references count="2">
          <reference field="4294967294" count="1" selected="0">
            <x v="0"/>
          </reference>
          <reference field="3" count="1" selected="0">
            <x v="4"/>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3" count="1" selected="0">
            <x v="0"/>
          </reference>
        </references>
      </pivotArea>
    </chartFormat>
    <chartFormat chart="10" format="20">
      <pivotArea type="data" outline="0" fieldPosition="0">
        <references count="2">
          <reference field="4294967294" count="1" selected="0">
            <x v="0"/>
          </reference>
          <reference field="3" count="1" selected="0">
            <x v="1"/>
          </reference>
        </references>
      </pivotArea>
    </chartFormat>
    <chartFormat chart="10" format="21">
      <pivotArea type="data" outline="0" fieldPosition="0">
        <references count="2">
          <reference field="4294967294" count="1" selected="0">
            <x v="0"/>
          </reference>
          <reference field="3" count="1" selected="0">
            <x v="2"/>
          </reference>
        </references>
      </pivotArea>
    </chartFormat>
    <chartFormat chart="10" format="22">
      <pivotArea type="data" outline="0" fieldPosition="0">
        <references count="2">
          <reference field="4294967294" count="1" selected="0">
            <x v="0"/>
          </reference>
          <reference field="3" count="1" selected="0">
            <x v="3"/>
          </reference>
        </references>
      </pivotArea>
    </chartFormat>
    <chartFormat chart="10" format="2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9D6033-A20F-4220-8055-C99E7443AA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DEB396-F67A-4FC7-8530-06A3064FCE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showAll="0"/>
    <pivotField showAll="0"/>
    <pivotField axis="axisRow" dataField="1" showAll="0">
      <items count="3">
        <item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3">
    <i>
      <x/>
    </i>
    <i>
      <x v="1"/>
    </i>
    <i t="grand">
      <x/>
    </i>
  </rowItems>
  <colItems count="1">
    <i/>
  </colItems>
  <dataFields count="1">
    <dataField name="Count of Issue Resolved" fld="5"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FE22BD-608D-4AA7-85BD-F9E38F0553D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rowPageCount="1" colPageCount="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items count="6">
        <item x="1"/>
        <item x="2"/>
        <item x="3"/>
        <item x="4"/>
        <item x="0"/>
        <item t="default"/>
      </items>
    </pivotField>
    <pivotField axis="axisRow" showAll="0">
      <items count="6">
        <item x="1"/>
        <item x="4"/>
        <item x="3"/>
        <item x="2"/>
        <item x="0"/>
        <item t="default"/>
      </items>
    </pivotField>
    <pivotField showAll="0"/>
    <pivotField axis="axisPage" dataField="1" multipleItemSelectionAllowed="1" showAll="0">
      <items count="3">
        <item h="1"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pageFields count="1">
    <pageField fld="5" hier="-1"/>
  </pageFields>
  <dataFields count="1">
    <dataField name="Count of Issue Resolve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761716-632E-4AE6-8C00-1715755A6F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axis="axisRow" showAll="0">
      <items count="6">
        <item x="1"/>
        <item x="4"/>
        <item x="3"/>
        <item x="2"/>
        <item x="0"/>
        <item t="default"/>
      </items>
    </pivotField>
    <pivotField dataField="1" showAll="0">
      <items count="97">
        <item x="79"/>
        <item x="81"/>
        <item x="3"/>
        <item x="32"/>
        <item x="77"/>
        <item x="78"/>
        <item x="89"/>
        <item x="52"/>
        <item x="82"/>
        <item x="36"/>
        <item x="11"/>
        <item x="24"/>
        <item x="61"/>
        <item x="37"/>
        <item x="69"/>
        <item x="65"/>
        <item x="15"/>
        <item x="51"/>
        <item x="21"/>
        <item x="8"/>
        <item x="41"/>
        <item x="38"/>
        <item x="39"/>
        <item x="63"/>
        <item x="83"/>
        <item x="0"/>
        <item x="5"/>
        <item x="72"/>
        <item x="49"/>
        <item x="2"/>
        <item x="59"/>
        <item x="20"/>
        <item x="46"/>
        <item x="33"/>
        <item x="73"/>
        <item x="23"/>
        <item x="48"/>
        <item x="54"/>
        <item x="76"/>
        <item x="14"/>
        <item x="71"/>
        <item x="62"/>
        <item x="16"/>
        <item x="43"/>
        <item x="34"/>
        <item x="31"/>
        <item x="17"/>
        <item x="88"/>
        <item x="29"/>
        <item x="64"/>
        <item x="12"/>
        <item x="44"/>
        <item x="75"/>
        <item x="57"/>
        <item x="70"/>
        <item x="42"/>
        <item x="95"/>
        <item x="92"/>
        <item x="22"/>
        <item x="27"/>
        <item x="87"/>
        <item x="26"/>
        <item x="19"/>
        <item x="74"/>
        <item x="35"/>
        <item x="56"/>
        <item x="94"/>
        <item x="40"/>
        <item x="18"/>
        <item x="91"/>
        <item x="93"/>
        <item x="47"/>
        <item x="6"/>
        <item x="10"/>
        <item x="86"/>
        <item x="84"/>
        <item x="30"/>
        <item x="28"/>
        <item x="1"/>
        <item x="4"/>
        <item x="53"/>
        <item x="45"/>
        <item x="66"/>
        <item x="67"/>
        <item x="7"/>
        <item x="25"/>
        <item x="55"/>
        <item x="58"/>
        <item x="60"/>
        <item x="68"/>
        <item x="90"/>
        <item x="50"/>
        <item x="85"/>
        <item x="80"/>
        <item x="9"/>
        <item x="1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Average of Response Time (hours)" fld="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813BB4-DC53-4BC2-94FA-38FC982CCB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0"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showAll="0"/>
    <pivotField axis="axisRow" dataField="1" showAll="0">
      <items count="97">
        <item x="79"/>
        <item x="81"/>
        <item x="3"/>
        <item x="32"/>
        <item x="77"/>
        <item x="78"/>
        <item x="89"/>
        <item x="52"/>
        <item x="82"/>
        <item x="36"/>
        <item x="11"/>
        <item x="24"/>
        <item x="61"/>
        <item x="37"/>
        <item x="69"/>
        <item x="65"/>
        <item x="15"/>
        <item x="51"/>
        <item x="21"/>
        <item x="8"/>
        <item x="41"/>
        <item x="38"/>
        <item x="39"/>
        <item x="63"/>
        <item x="83"/>
        <item x="0"/>
        <item x="5"/>
        <item x="72"/>
        <item x="49"/>
        <item x="2"/>
        <item x="59"/>
        <item x="20"/>
        <item x="46"/>
        <item x="33"/>
        <item x="73"/>
        <item x="23"/>
        <item x="48"/>
        <item x="54"/>
        <item x="76"/>
        <item x="14"/>
        <item x="71"/>
        <item x="62"/>
        <item x="16"/>
        <item x="43"/>
        <item x="34"/>
        <item x="31"/>
        <item x="17"/>
        <item x="88"/>
        <item x="29"/>
        <item x="64"/>
        <item x="12"/>
        <item x="44"/>
        <item x="75"/>
        <item x="57"/>
        <item x="70"/>
        <item x="42"/>
        <item x="95"/>
        <item x="92"/>
        <item x="22"/>
        <item x="27"/>
        <item x="87"/>
        <item x="26"/>
        <item x="19"/>
        <item x="74"/>
        <item x="35"/>
        <item x="56"/>
        <item x="94"/>
        <item x="40"/>
        <item x="18"/>
        <item x="91"/>
        <item x="93"/>
        <item x="47"/>
        <item x="6"/>
        <item x="10"/>
        <item x="86"/>
        <item x="84"/>
        <item x="30"/>
        <item x="28"/>
        <item x="1"/>
        <item x="4"/>
        <item x="53"/>
        <item x="45"/>
        <item x="66"/>
        <item x="67"/>
        <item x="7"/>
        <item x="25"/>
        <item x="55"/>
        <item x="58"/>
        <item x="60"/>
        <item x="68"/>
        <item x="90"/>
        <item x="50"/>
        <item x="85"/>
        <item x="80"/>
        <item x="9"/>
        <item x="13"/>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t="grand">
      <x/>
    </i>
  </rowItems>
  <colItems count="1">
    <i/>
  </colItems>
  <dataFields count="1">
    <dataField name="Sum of Response Time (hours)" fld="4"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7A6206-427D-445F-A5F6-F523D4EF4C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axis="axisRow" showAll="0">
      <items count="6">
        <item x="1"/>
        <item x="2"/>
        <item x="3"/>
        <item x="4"/>
        <item x="0"/>
        <item t="default"/>
      </items>
    </pivotField>
    <pivotField showAll="0">
      <items count="6">
        <item x="1"/>
        <item x="4"/>
        <item x="3"/>
        <item x="2"/>
        <item x="0"/>
        <item t="default"/>
      </items>
    </pivotField>
    <pivotField dataField="1" showAll="0"/>
    <pivotField showAll="0">
      <items count="3">
        <item x="0"/>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sponse Time (hours)" fld="4" baseField="0" baseItem="0"/>
  </dataField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27629A-3F67-467F-AEC6-A9BEC7E18D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axis="axisRow" showAll="0">
      <items count="6">
        <item x="1"/>
        <item x="2"/>
        <item x="3"/>
        <item x="4"/>
        <item x="0"/>
        <item t="default"/>
      </items>
    </pivotField>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dataField="1"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Count of Months (Dat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CF1366-37BE-4EBC-8F7F-8A0C512E195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showAll="0"/>
    <pivotField showAll="0"/>
    <pivotField showAll="0"/>
    <pivotField showAll="0">
      <items count="3">
        <item x="0"/>
        <item x="1"/>
        <item t="default"/>
      </items>
    </pivotField>
    <pivotField showAll="0">
      <items count="2">
        <item x="0"/>
        <item t="default"/>
      </items>
    </pivotField>
    <pivotField showAll="0">
      <items count="2">
        <item x="0"/>
        <item t="default"/>
      </items>
    </pivotField>
    <pivotField showAll="0">
      <items count="2">
        <item x="0"/>
        <item t="default"/>
      </items>
    </pivotField>
    <pivotField dataField="1"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Days (Dat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3EE260-4102-40F0-9EDE-7E72A17454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showAll="0"/>
    <pivotField showAll="0"/>
    <pivotField showAll="0"/>
    <pivotField showAll="0"/>
    <pivotField showAll="0">
      <items count="2">
        <item x="0"/>
        <item t="default"/>
      </items>
    </pivotField>
    <pivotField showAll="0">
      <items count="2">
        <item x="0"/>
        <item t="default"/>
      </items>
    </pivotField>
    <pivotField showAll="0">
      <items count="2">
        <item x="0"/>
        <item t="default"/>
      </items>
    </pivotField>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0D88AB-13D7-4EB2-8430-113AE35B913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4" firstHeaderRow="1" firstDataRow="1" firstDataCol="1"/>
  <pivotFields count="12">
    <pivotField showAll="0"/>
    <pivotField axis="axisRow" dataField="1"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
    <i t="grand">
      <x/>
    </i>
  </rowItems>
  <colItems count="1">
    <i/>
  </colItems>
  <dataFields count="1">
    <dataField name="Count of Date" fld="1" subtotal="count" baseField="0" baseItem="0"/>
  </dataFields>
  <pivotTableStyleInfo name="PivotStyleLight16" showRowHeaders="1" showColHeaders="1" showRowStripes="0" showColStripes="0" showLastColumn="1"/>
  <filters count="1">
    <filter fld="1" type="dateBetween" evalOrder="-1" id="72" name="Date">
      <autoFilter ref="A1">
        <filterColumn colId="0">
          <customFilters and="1">
            <customFilter operator="greaterThanOrEqual" val="45413"/>
            <customFilter operator="lessThanOrEqual" val="454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29E199-F6ED-4515-A003-87388CEB4B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axis="axisRow" dataField="1" multipleItemSelectionAllowed="1" showAll="0">
      <items count="6">
        <item x="1"/>
        <item x="4"/>
        <item x="3"/>
        <item x="2"/>
        <item x="0"/>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Count of Feedback Category"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1B7F586-8F12-461B-B2F5-316C86C1F2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axis="axisRow" dataField="1" showAll="0">
      <items count="6">
        <item x="1"/>
        <item x="2"/>
        <item x="3"/>
        <item x="4"/>
        <item x="0"/>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Count of Service Rating" fld="2"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1DEE2D3-D097-4A08-B6F2-7C26C29D31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axis="axisRow" showAll="0">
      <items count="6">
        <item x="1"/>
        <item x="2"/>
        <item x="3"/>
        <item x="4"/>
        <item x="0"/>
        <item t="default"/>
      </items>
    </pivotField>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i>
    <i>
      <x v="1"/>
    </i>
    <i>
      <x v="2"/>
    </i>
    <i>
      <x v="3"/>
    </i>
    <i>
      <x v="4"/>
    </i>
    <i t="grand">
      <x/>
    </i>
  </rowItems>
  <colItems count="1">
    <i/>
  </colItems>
  <dataFields count="1">
    <dataField name="Sum of Response Time (hours)" fld="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BA0D4C-C7BC-4B74-87C1-17B83EFF97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rowPageCount="1" colPageCount="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axis="axisRow" showAll="0">
      <items count="6">
        <item x="1"/>
        <item x="4"/>
        <item x="3"/>
        <item x="2"/>
        <item x="0"/>
        <item t="default"/>
      </items>
    </pivotField>
    <pivotField showAll="0"/>
    <pivotField axis="axisPage" dataField="1" multipleItemSelectionAllowed="1" showAll="0">
      <items count="3">
        <item h="1"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pageFields count="1">
    <pageField fld="5" hier="-1"/>
  </pageFields>
  <dataFields count="1">
    <dataField name="Count of Issue Resolved" fld="5"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67B1FFD-5E51-49DB-BA37-586F177D0B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dataField="1" showAll="0"/>
    <pivotField axis="axisRow" showAll="0">
      <items count="6">
        <item x="1"/>
        <item x="4"/>
        <item x="3"/>
        <item x="2"/>
        <item x="0"/>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Count of Service Rating" fld="2" subtotal="count" baseField="3"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023C845-71B4-4F5A-B3A9-EA43689265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 firstHeaderRow="1" firstDataRow="1" firstDataCol="1"/>
  <pivotFields count="12">
    <pivotField showAll="0"/>
    <pivotField numFmtId="22" showAll="0">
      <items count="67">
        <item x="20"/>
        <item x="35"/>
        <item x="29"/>
        <item x="60"/>
        <item x="11"/>
        <item x="31"/>
        <item x="7"/>
        <item x="42"/>
        <item x="33"/>
        <item x="26"/>
        <item x="18"/>
        <item x="36"/>
        <item x="22"/>
        <item x="43"/>
        <item x="41"/>
        <item x="63"/>
        <item x="14"/>
        <item x="17"/>
        <item x="54"/>
        <item x="34"/>
        <item x="44"/>
        <item x="8"/>
        <item x="57"/>
        <item x="65"/>
        <item x="30"/>
        <item x="51"/>
        <item x="45"/>
        <item x="25"/>
        <item x="24"/>
        <item x="64"/>
        <item x="37"/>
        <item x="62"/>
        <item x="10"/>
        <item x="9"/>
        <item x="19"/>
        <item x="47"/>
        <item x="32"/>
        <item x="1"/>
        <item x="3"/>
        <item x="49"/>
        <item x="2"/>
        <item x="39"/>
        <item x="23"/>
        <item x="38"/>
        <item x="4"/>
        <item x="13"/>
        <item x="48"/>
        <item x="12"/>
        <item x="56"/>
        <item x="40"/>
        <item x="6"/>
        <item x="52"/>
        <item x="28"/>
        <item x="50"/>
        <item x="5"/>
        <item x="59"/>
        <item x="15"/>
        <item x="58"/>
        <item x="61"/>
        <item x="21"/>
        <item x="55"/>
        <item x="0"/>
        <item x="46"/>
        <item x="16"/>
        <item x="53"/>
        <item x="27"/>
        <item t="default"/>
      </items>
    </pivotField>
    <pivotField showAll="0"/>
    <pivotField showAll="0">
      <items count="6">
        <item x="1"/>
        <item x="4"/>
        <item x="3"/>
        <item x="2"/>
        <item x="0"/>
        <item t="default"/>
      </items>
    </pivotField>
    <pivotField showAll="0"/>
    <pivotField axis="axisRow" showAll="0">
      <items count="3">
        <item x="0"/>
        <item x="1"/>
        <item t="default"/>
      </items>
    </pivotField>
    <pivotField showAll="0"/>
    <pivotField showAll="0">
      <items count="2">
        <item x="0"/>
        <item t="default"/>
      </items>
    </pivotField>
    <pivotField showAll="0">
      <items count="2">
        <item x="0"/>
        <item t="default"/>
      </items>
    </pivotField>
    <pivotField showAll="0">
      <items count="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Rating" xr10:uid="{A356C7AC-F24C-4032-BA83-050F9FF34386}" sourceName="Service Rating">
  <pivotTables>
    <pivotTable tabId="11" name="PivotTable3"/>
  </pivotTables>
  <data>
    <tabular pivotCacheId="500900109">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Rating" xr10:uid="{792727DE-C277-4109-A3D3-098FA63839AA}" cache="Slicer_Service_Rating" caption="Service Rating"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Rating 1" xr10:uid="{6F8C3FB0-9404-4789-99CB-124180BC4E27}" cache="Slicer_Service_Rating" caption="Service Rating"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EF03FB-7FA3-4BAB-A0F7-3EE8370AAABA}" name="Table1" displayName="Table1" ref="E6:F11" totalsRowShown="0">
  <autoFilter ref="E6:F11" xr:uid="{20EF03FB-7FA3-4BAB-A0F7-3EE8370AAABA}"/>
  <tableColumns count="2">
    <tableColumn id="1" xr3:uid="{09A2759F-F904-452B-A92A-1FE113B41160}" name="FEEDBACK CATEGORY" dataDxfId="1"/>
    <tableColumn id="2" xr3:uid="{EE1EE2A7-0603-4F69-B4C4-112A0B863CF6}" name="SERVICE RATIN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D317CA7-9918-4019-BCD0-FD232A20B029}" sourceName="Date">
  <pivotTables>
    <pivotTable tabId="8" name="PivotTable1"/>
  </pivotTables>
  <state minimalRefreshVersion="6" lastRefreshVersion="6" pivotCacheId="500900109" filterType="dateBetween">
    <selection startDate="2024-05-01T00:00:00" endDate="2024-05-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99B7F4B-26C4-4E38-8747-0D0FBF751F23}" cache="NativeTimeline_Date" caption="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5F1B7F7-4A97-4C4F-9209-F7B5A2ECCF6A}" cache="NativeTimeline_Date" caption="Date" level="2" selectionLevel="2" scrollPosition="2024-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979F1-C82E-4505-9DA6-4054E01199F0}">
  <dimension ref="A3:I12"/>
  <sheetViews>
    <sheetView workbookViewId="0">
      <selection activeCell="B3" sqref="B3"/>
    </sheetView>
  </sheetViews>
  <sheetFormatPr defaultRowHeight="13.8"/>
  <cols>
    <col min="1" max="1" width="12.3984375" bestFit="1" customWidth="1"/>
    <col min="2" max="2" width="20.09765625" bestFit="1" customWidth="1"/>
    <col min="3" max="3" width="24.69921875" bestFit="1" customWidth="1"/>
  </cols>
  <sheetData>
    <row r="3" spans="1:9">
      <c r="A3" s="9" t="s">
        <v>120</v>
      </c>
      <c r="B3" t="s">
        <v>128</v>
      </c>
      <c r="C3" t="s">
        <v>129</v>
      </c>
    </row>
    <row r="4" spans="1:9">
      <c r="A4" s="10">
        <v>1</v>
      </c>
      <c r="B4">
        <v>22</v>
      </c>
      <c r="C4" s="11">
        <v>7.1895424836601302E-2</v>
      </c>
    </row>
    <row r="5" spans="1:9">
      <c r="A5" s="10">
        <v>2</v>
      </c>
      <c r="B5">
        <v>16</v>
      </c>
      <c r="C5" s="11">
        <v>0.10457516339869281</v>
      </c>
    </row>
    <row r="6" spans="1:9">
      <c r="A6" s="10">
        <v>3</v>
      </c>
      <c r="B6">
        <v>19</v>
      </c>
      <c r="C6" s="11">
        <v>0.18627450980392157</v>
      </c>
    </row>
    <row r="7" spans="1:9">
      <c r="A7" s="10">
        <v>4</v>
      </c>
      <c r="B7">
        <v>20</v>
      </c>
      <c r="C7" s="11">
        <v>0.26143790849673204</v>
      </c>
    </row>
    <row r="8" spans="1:9">
      <c r="A8" s="10">
        <v>5</v>
      </c>
      <c r="B8">
        <v>23</v>
      </c>
      <c r="C8" s="11">
        <v>0.37581699346405228</v>
      </c>
      <c r="G8" s="13">
        <v>1</v>
      </c>
      <c r="H8" s="14">
        <v>22</v>
      </c>
      <c r="I8" s="15">
        <v>7.1895424836601302E-2</v>
      </c>
    </row>
    <row r="9" spans="1:9">
      <c r="A9" s="10" t="s">
        <v>121</v>
      </c>
      <c r="B9">
        <v>100</v>
      </c>
      <c r="C9" s="11">
        <v>1</v>
      </c>
      <c r="G9" s="13">
        <v>2</v>
      </c>
      <c r="H9" s="14">
        <v>16</v>
      </c>
      <c r="I9" s="15">
        <v>0.10457516339869281</v>
      </c>
    </row>
    <row r="10" spans="1:9">
      <c r="G10" s="13">
        <v>3</v>
      </c>
      <c r="H10" s="14">
        <v>19</v>
      </c>
      <c r="I10" s="15">
        <v>0.18627450980392157</v>
      </c>
    </row>
    <row r="11" spans="1:9">
      <c r="G11" s="13">
        <v>4</v>
      </c>
      <c r="H11" s="14">
        <v>20</v>
      </c>
      <c r="I11" s="15">
        <v>0.26143790849673204</v>
      </c>
    </row>
    <row r="12" spans="1:9">
      <c r="G12" s="13">
        <v>5</v>
      </c>
      <c r="H12" s="14">
        <v>23</v>
      </c>
      <c r="I12" s="15">
        <v>0.37581699346405228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0552C-D69D-4F70-BF38-9A58FD0AC532}">
  <dimension ref="A3:B9"/>
  <sheetViews>
    <sheetView workbookViewId="0">
      <selection activeCell="B3" sqref="B3"/>
    </sheetView>
  </sheetViews>
  <sheetFormatPr defaultRowHeight="13.8"/>
  <cols>
    <col min="1" max="1" width="12.3984375" bestFit="1" customWidth="1"/>
    <col min="2" max="3" width="30.796875" bestFit="1" customWidth="1"/>
    <col min="4" max="10" width="25.3984375" bestFit="1" customWidth="1"/>
    <col min="11" max="11" width="28.8984375" bestFit="1" customWidth="1"/>
    <col min="12" max="12" width="30" bestFit="1" customWidth="1"/>
  </cols>
  <sheetData>
    <row r="3" spans="1:2">
      <c r="A3" s="9" t="s">
        <v>120</v>
      </c>
      <c r="B3" t="s">
        <v>123</v>
      </c>
    </row>
    <row r="4" spans="1:2">
      <c r="A4" s="10" t="s">
        <v>10</v>
      </c>
      <c r="B4" s="11">
        <v>0.22</v>
      </c>
    </row>
    <row r="5" spans="1:2">
      <c r="A5" s="10" t="s">
        <v>30</v>
      </c>
      <c r="B5" s="11">
        <v>0.18</v>
      </c>
    </row>
    <row r="6" spans="1:2">
      <c r="A6" s="10" t="s">
        <v>15</v>
      </c>
      <c r="B6" s="11">
        <v>0.24</v>
      </c>
    </row>
    <row r="7" spans="1:2">
      <c r="A7" s="10" t="s">
        <v>12</v>
      </c>
      <c r="B7" s="11">
        <v>0.19</v>
      </c>
    </row>
    <row r="8" spans="1:2">
      <c r="A8" s="10" t="s">
        <v>7</v>
      </c>
      <c r="B8" s="11">
        <v>0.17</v>
      </c>
    </row>
    <row r="9" spans="1:2">
      <c r="A9" s="10" t="s">
        <v>121</v>
      </c>
      <c r="B9" s="11">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72D60-74B2-4AD8-9B7F-00D66D20E05B}">
  <dimension ref="A3:G20"/>
  <sheetViews>
    <sheetView workbookViewId="0">
      <selection activeCell="G7" sqref="G7"/>
    </sheetView>
  </sheetViews>
  <sheetFormatPr defaultRowHeight="13.8"/>
  <sheetData>
    <row r="3" spans="1:7">
      <c r="A3" s="16"/>
      <c r="B3" s="17"/>
      <c r="C3" s="18"/>
    </row>
    <row r="4" spans="1:7">
      <c r="A4" s="19"/>
      <c r="B4" s="20"/>
      <c r="C4" s="21"/>
    </row>
    <row r="5" spans="1:7">
      <c r="A5" s="19"/>
      <c r="B5" s="20"/>
      <c r="C5" s="21"/>
    </row>
    <row r="6" spans="1:7">
      <c r="A6" s="19"/>
      <c r="B6" s="20"/>
      <c r="C6" s="21"/>
      <c r="G6" t="s">
        <v>115</v>
      </c>
    </row>
    <row r="7" spans="1:7">
      <c r="A7" s="19"/>
      <c r="B7" s="20"/>
      <c r="C7" s="21"/>
      <c r="G7">
        <v>5</v>
      </c>
    </row>
    <row r="8" spans="1:7">
      <c r="A8" s="19"/>
      <c r="B8" s="20"/>
      <c r="C8" s="21"/>
    </row>
    <row r="9" spans="1:7">
      <c r="A9" s="19"/>
      <c r="B9" s="20"/>
      <c r="C9" s="21"/>
    </row>
    <row r="10" spans="1:7">
      <c r="A10" s="19"/>
      <c r="B10" s="20"/>
      <c r="C10" s="21"/>
    </row>
    <row r="11" spans="1:7">
      <c r="A11" s="19"/>
      <c r="B11" s="20"/>
      <c r="C11" s="21"/>
    </row>
    <row r="12" spans="1:7">
      <c r="A12" s="19"/>
      <c r="B12" s="20"/>
      <c r="C12" s="21"/>
    </row>
    <row r="13" spans="1:7">
      <c r="A13" s="19"/>
      <c r="B13" s="20"/>
      <c r="C13" s="21"/>
    </row>
    <row r="14" spans="1:7">
      <c r="A14" s="19"/>
      <c r="B14" s="20"/>
      <c r="C14" s="21"/>
    </row>
    <row r="15" spans="1:7">
      <c r="A15" s="19"/>
      <c r="B15" s="20"/>
      <c r="C15" s="21"/>
    </row>
    <row r="16" spans="1:7">
      <c r="A16" s="19"/>
      <c r="B16" s="20"/>
      <c r="C16" s="21"/>
    </row>
    <row r="17" spans="1:3">
      <c r="A17" s="19"/>
      <c r="B17" s="20"/>
      <c r="C17" s="21"/>
    </row>
    <row r="18" spans="1:3">
      <c r="A18" s="19"/>
      <c r="B18" s="20"/>
      <c r="C18" s="21"/>
    </row>
    <row r="19" spans="1:3">
      <c r="A19" s="19"/>
      <c r="B19" s="20"/>
      <c r="C19" s="21"/>
    </row>
    <row r="20" spans="1:3">
      <c r="A20" s="22"/>
      <c r="B20" s="23"/>
      <c r="C20"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0688-D27F-4A94-A292-2174663CCA45}">
  <dimension ref="A3:B6"/>
  <sheetViews>
    <sheetView workbookViewId="0">
      <selection activeCell="A3" sqref="A3"/>
    </sheetView>
  </sheetViews>
  <sheetFormatPr defaultRowHeight="13.8"/>
  <cols>
    <col min="1" max="1" width="12.3984375" bestFit="1" customWidth="1"/>
    <col min="2" max="2" width="20.59765625" bestFit="1" customWidth="1"/>
  </cols>
  <sheetData>
    <row r="3" spans="1:2">
      <c r="A3" s="9" t="s">
        <v>120</v>
      </c>
      <c r="B3" t="s">
        <v>130</v>
      </c>
    </row>
    <row r="4" spans="1:2">
      <c r="A4" s="10" t="s">
        <v>8</v>
      </c>
      <c r="B4">
        <v>20</v>
      </c>
    </row>
    <row r="5" spans="1:2">
      <c r="A5" s="10" t="s">
        <v>13</v>
      </c>
      <c r="B5">
        <v>80</v>
      </c>
    </row>
    <row r="6" spans="1:2">
      <c r="A6" s="10" t="s">
        <v>121</v>
      </c>
      <c r="B6">
        <v>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58EC-9810-4DB5-9149-19C36D3E0481}">
  <dimension ref="A1:B9"/>
  <sheetViews>
    <sheetView workbookViewId="0">
      <selection activeCell="A3" sqref="A3"/>
    </sheetView>
  </sheetViews>
  <sheetFormatPr defaultRowHeight="13.8"/>
  <cols>
    <col min="1" max="1" width="12.796875" bestFit="1" customWidth="1"/>
    <col min="2" max="2" width="20.59765625" bestFit="1" customWidth="1"/>
  </cols>
  <sheetData>
    <row r="1" spans="1:2">
      <c r="A1" s="9" t="s">
        <v>5</v>
      </c>
      <c r="B1" t="s">
        <v>13</v>
      </c>
    </row>
    <row r="3" spans="1:2">
      <c r="A3" s="9" t="s">
        <v>120</v>
      </c>
      <c r="B3" t="s">
        <v>130</v>
      </c>
    </row>
    <row r="4" spans="1:2">
      <c r="A4" s="10" t="s">
        <v>10</v>
      </c>
      <c r="B4">
        <v>18</v>
      </c>
    </row>
    <row r="5" spans="1:2">
      <c r="A5" s="10" t="s">
        <v>30</v>
      </c>
      <c r="B5">
        <v>14</v>
      </c>
    </row>
    <row r="6" spans="1:2">
      <c r="A6" s="10" t="s">
        <v>15</v>
      </c>
      <c r="B6">
        <v>19</v>
      </c>
    </row>
    <row r="7" spans="1:2">
      <c r="A7" s="10" t="s">
        <v>12</v>
      </c>
      <c r="B7">
        <v>16</v>
      </c>
    </row>
    <row r="8" spans="1:2">
      <c r="A8" s="10" t="s">
        <v>7</v>
      </c>
      <c r="B8">
        <v>13</v>
      </c>
    </row>
    <row r="9" spans="1:2">
      <c r="A9" s="10" t="s">
        <v>121</v>
      </c>
      <c r="B9">
        <v>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0E07-940A-4850-901E-15931FE4231A}">
  <dimension ref="A3:F9"/>
  <sheetViews>
    <sheetView workbookViewId="0">
      <selection activeCell="E6" sqref="E6"/>
    </sheetView>
  </sheetViews>
  <sheetFormatPr defaultRowHeight="13.8"/>
  <cols>
    <col min="1" max="1" width="12.3984375" bestFit="1" customWidth="1"/>
    <col min="2" max="2" width="28.8984375" bestFit="1" customWidth="1"/>
  </cols>
  <sheetData>
    <row r="3" spans="1:6">
      <c r="A3" s="9" t="s">
        <v>120</v>
      </c>
      <c r="B3" t="s">
        <v>125</v>
      </c>
    </row>
    <row r="4" spans="1:6">
      <c r="A4" s="10" t="s">
        <v>10</v>
      </c>
      <c r="B4">
        <v>41.177272727272729</v>
      </c>
      <c r="F4" s="10"/>
    </row>
    <row r="5" spans="1:6">
      <c r="A5" s="10" t="s">
        <v>30</v>
      </c>
      <c r="B5">
        <v>37.75</v>
      </c>
      <c r="F5" s="10"/>
    </row>
    <row r="6" spans="1:6">
      <c r="A6" s="10" t="s">
        <v>15</v>
      </c>
      <c r="B6">
        <v>39.870833333333337</v>
      </c>
      <c r="F6" s="10"/>
    </row>
    <row r="7" spans="1:6">
      <c r="A7" s="10" t="s">
        <v>12</v>
      </c>
      <c r="B7">
        <v>37.515789473684201</v>
      </c>
      <c r="F7" s="10"/>
    </row>
    <row r="8" spans="1:6">
      <c r="A8" s="10" t="s">
        <v>7</v>
      </c>
      <c r="B8">
        <v>32.788235294117648</v>
      </c>
      <c r="F8" s="10"/>
    </row>
    <row r="9" spans="1:6">
      <c r="A9" s="10" t="s">
        <v>121</v>
      </c>
      <c r="B9">
        <v>38.125000000000007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9E319-E326-40D1-8D77-6D43E86F47FA}">
  <dimension ref="A3:G100"/>
  <sheetViews>
    <sheetView workbookViewId="0">
      <selection activeCell="B3" sqref="B3"/>
    </sheetView>
  </sheetViews>
  <sheetFormatPr defaultRowHeight="13.8"/>
  <cols>
    <col min="1" max="1" width="12.3984375" bestFit="1" customWidth="1"/>
    <col min="2" max="2" width="26.09765625" bestFit="1" customWidth="1"/>
  </cols>
  <sheetData>
    <row r="3" spans="1:7">
      <c r="A3" s="9" t="s">
        <v>120</v>
      </c>
      <c r="B3" t="s">
        <v>124</v>
      </c>
      <c r="F3" s="10">
        <v>1.2</v>
      </c>
      <c r="G3">
        <v>1.2</v>
      </c>
    </row>
    <row r="4" spans="1:7">
      <c r="A4" s="10">
        <v>1.2</v>
      </c>
      <c r="B4">
        <v>1.2</v>
      </c>
      <c r="F4" s="10">
        <v>1.4</v>
      </c>
      <c r="G4">
        <v>1.4</v>
      </c>
    </row>
    <row r="5" spans="1:7">
      <c r="A5" s="10">
        <v>1.4</v>
      </c>
      <c r="B5">
        <v>1.4</v>
      </c>
      <c r="F5" s="10">
        <v>3.4</v>
      </c>
      <c r="G5">
        <v>3.4</v>
      </c>
    </row>
    <row r="6" spans="1:7">
      <c r="A6" s="10">
        <v>3.4</v>
      </c>
      <c r="B6">
        <v>3.4</v>
      </c>
      <c r="F6" s="10">
        <v>5.8</v>
      </c>
      <c r="G6">
        <v>11.6</v>
      </c>
    </row>
    <row r="7" spans="1:7">
      <c r="A7" s="10">
        <v>5.8</v>
      </c>
      <c r="B7">
        <v>11.6</v>
      </c>
      <c r="F7" s="10">
        <v>6.4</v>
      </c>
      <c r="G7">
        <v>6.4</v>
      </c>
    </row>
    <row r="8" spans="1:7">
      <c r="A8" s="10">
        <v>6.4</v>
      </c>
      <c r="B8">
        <v>6.4</v>
      </c>
      <c r="F8" s="10">
        <v>6.5</v>
      </c>
      <c r="G8">
        <v>6.5</v>
      </c>
    </row>
    <row r="9" spans="1:7">
      <c r="A9" s="10">
        <v>6.5</v>
      </c>
      <c r="B9">
        <v>6.5</v>
      </c>
      <c r="F9" s="10">
        <v>7.2</v>
      </c>
      <c r="G9">
        <v>7.2</v>
      </c>
    </row>
    <row r="10" spans="1:7">
      <c r="A10" s="10">
        <v>7.2</v>
      </c>
      <c r="B10">
        <v>7.2</v>
      </c>
      <c r="F10" s="10">
        <v>7.4</v>
      </c>
      <c r="G10">
        <v>7.4</v>
      </c>
    </row>
    <row r="11" spans="1:7">
      <c r="A11" s="10">
        <v>7.4</v>
      </c>
      <c r="B11">
        <v>7.4</v>
      </c>
      <c r="F11" s="10">
        <v>8.3000000000000007</v>
      </c>
      <c r="G11">
        <v>8.3000000000000007</v>
      </c>
    </row>
    <row r="12" spans="1:7">
      <c r="A12" s="10">
        <v>8.3000000000000007</v>
      </c>
      <c r="B12">
        <v>8.3000000000000007</v>
      </c>
      <c r="F12" s="10">
        <v>8.6</v>
      </c>
      <c r="G12">
        <v>8.6</v>
      </c>
    </row>
    <row r="13" spans="1:7">
      <c r="A13" s="10">
        <v>8.6</v>
      </c>
      <c r="B13">
        <v>8.6</v>
      </c>
      <c r="F13" s="10">
        <v>9.1</v>
      </c>
      <c r="G13">
        <v>9.1</v>
      </c>
    </row>
    <row r="14" spans="1:7">
      <c r="A14" s="10">
        <v>9.1</v>
      </c>
      <c r="B14">
        <v>9.1</v>
      </c>
      <c r="F14" s="10">
        <v>10.4</v>
      </c>
      <c r="G14">
        <v>10.4</v>
      </c>
    </row>
    <row r="15" spans="1:7">
      <c r="A15" s="10">
        <v>10.4</v>
      </c>
      <c r="B15">
        <v>10.4</v>
      </c>
      <c r="F15" s="10">
        <v>10.6</v>
      </c>
      <c r="G15">
        <v>10.6</v>
      </c>
    </row>
    <row r="16" spans="1:7">
      <c r="A16" s="10">
        <v>10.6</v>
      </c>
      <c r="B16">
        <v>10.6</v>
      </c>
      <c r="F16" s="10">
        <v>10.9</v>
      </c>
      <c r="G16">
        <v>10.9</v>
      </c>
    </row>
    <row r="17" spans="1:7">
      <c r="A17" s="10">
        <v>10.9</v>
      </c>
      <c r="B17">
        <v>10.9</v>
      </c>
      <c r="F17" s="10">
        <v>12</v>
      </c>
      <c r="G17">
        <v>12</v>
      </c>
    </row>
    <row r="18" spans="1:7">
      <c r="A18" s="10">
        <v>12</v>
      </c>
      <c r="B18">
        <v>12</v>
      </c>
      <c r="F18" s="10">
        <v>12.5</v>
      </c>
      <c r="G18">
        <v>12.5</v>
      </c>
    </row>
    <row r="19" spans="1:7">
      <c r="A19" s="10">
        <v>12.5</v>
      </c>
      <c r="B19">
        <v>12.5</v>
      </c>
      <c r="F19" s="10">
        <v>13.9</v>
      </c>
      <c r="G19">
        <v>13.9</v>
      </c>
    </row>
    <row r="20" spans="1:7">
      <c r="A20" s="10">
        <v>13.9</v>
      </c>
      <c r="B20">
        <v>13.9</v>
      </c>
      <c r="F20" s="10">
        <v>14.1</v>
      </c>
      <c r="G20">
        <v>14.1</v>
      </c>
    </row>
    <row r="21" spans="1:7">
      <c r="A21" s="10">
        <v>14.1</v>
      </c>
      <c r="B21">
        <v>14.1</v>
      </c>
      <c r="F21" s="10">
        <v>16.5</v>
      </c>
      <c r="G21">
        <v>16.5</v>
      </c>
    </row>
    <row r="22" spans="1:7">
      <c r="A22" s="10">
        <v>16.5</v>
      </c>
      <c r="B22">
        <v>16.5</v>
      </c>
      <c r="F22" s="10">
        <v>16.600000000000001</v>
      </c>
      <c r="G22">
        <v>16.600000000000001</v>
      </c>
    </row>
    <row r="23" spans="1:7">
      <c r="A23" s="10">
        <v>16.600000000000001</v>
      </c>
      <c r="B23">
        <v>16.600000000000001</v>
      </c>
      <c r="F23" s="10">
        <v>18.8</v>
      </c>
      <c r="G23">
        <v>18.8</v>
      </c>
    </row>
    <row r="24" spans="1:7">
      <c r="A24" s="10">
        <v>18.8</v>
      </c>
      <c r="B24">
        <v>18.8</v>
      </c>
      <c r="F24" s="10">
        <v>19.7</v>
      </c>
      <c r="G24">
        <v>19.7</v>
      </c>
    </row>
    <row r="25" spans="1:7">
      <c r="A25" s="10">
        <v>19.7</v>
      </c>
      <c r="B25">
        <v>19.7</v>
      </c>
      <c r="F25" s="10">
        <v>19.899999999999999</v>
      </c>
      <c r="G25">
        <v>19.899999999999999</v>
      </c>
    </row>
    <row r="26" spans="1:7">
      <c r="A26" s="10">
        <v>19.899999999999999</v>
      </c>
      <c r="B26">
        <v>19.899999999999999</v>
      </c>
      <c r="F26" s="10">
        <v>20.2</v>
      </c>
      <c r="G26">
        <v>20.2</v>
      </c>
    </row>
    <row r="27" spans="1:7">
      <c r="A27" s="10">
        <v>20.2</v>
      </c>
      <c r="B27">
        <v>20.2</v>
      </c>
      <c r="F27" s="10">
        <v>23.3</v>
      </c>
      <c r="G27">
        <v>23.3</v>
      </c>
    </row>
    <row r="28" spans="1:7">
      <c r="A28" s="10">
        <v>23.3</v>
      </c>
      <c r="B28">
        <v>23.3</v>
      </c>
      <c r="F28" s="10">
        <v>24.8</v>
      </c>
      <c r="G28">
        <v>24.8</v>
      </c>
    </row>
    <row r="29" spans="1:7">
      <c r="A29" s="10">
        <v>24.8</v>
      </c>
      <c r="B29">
        <v>24.8</v>
      </c>
      <c r="F29" s="10">
        <v>25.5</v>
      </c>
      <c r="G29">
        <v>51</v>
      </c>
    </row>
    <row r="30" spans="1:7">
      <c r="A30" s="10">
        <v>25.5</v>
      </c>
      <c r="B30">
        <v>51</v>
      </c>
      <c r="F30" s="10">
        <v>26</v>
      </c>
      <c r="G30">
        <v>26</v>
      </c>
    </row>
    <row r="31" spans="1:7">
      <c r="A31" s="10">
        <v>26</v>
      </c>
      <c r="B31">
        <v>26</v>
      </c>
      <c r="F31" s="10">
        <v>26.1</v>
      </c>
      <c r="G31">
        <v>26.1</v>
      </c>
    </row>
    <row r="32" spans="1:7">
      <c r="A32" s="10">
        <v>26.1</v>
      </c>
      <c r="B32">
        <v>26.1</v>
      </c>
      <c r="F32" s="10">
        <v>26.8</v>
      </c>
      <c r="G32">
        <v>53.6</v>
      </c>
    </row>
    <row r="33" spans="1:7">
      <c r="A33" s="10">
        <v>26.8</v>
      </c>
      <c r="B33">
        <v>53.6</v>
      </c>
      <c r="F33" s="10">
        <v>29.2</v>
      </c>
      <c r="G33">
        <v>29.2</v>
      </c>
    </row>
    <row r="34" spans="1:7">
      <c r="A34" s="10">
        <v>29.2</v>
      </c>
      <c r="B34">
        <v>29.2</v>
      </c>
      <c r="F34" s="10">
        <v>29.6</v>
      </c>
      <c r="G34">
        <v>29.6</v>
      </c>
    </row>
    <row r="35" spans="1:7">
      <c r="A35" s="10">
        <v>29.6</v>
      </c>
      <c r="B35">
        <v>29.6</v>
      </c>
      <c r="F35" s="10">
        <v>29.7</v>
      </c>
      <c r="G35">
        <v>29.7</v>
      </c>
    </row>
    <row r="36" spans="1:7">
      <c r="A36" s="10">
        <v>29.7</v>
      </c>
      <c r="B36">
        <v>29.7</v>
      </c>
      <c r="F36" s="10">
        <v>29.8</v>
      </c>
      <c r="G36">
        <v>29.8</v>
      </c>
    </row>
    <row r="37" spans="1:7">
      <c r="A37" s="10">
        <v>29.8</v>
      </c>
      <c r="B37">
        <v>29.8</v>
      </c>
      <c r="F37" s="10">
        <v>30.3</v>
      </c>
      <c r="G37">
        <v>30.3</v>
      </c>
    </row>
    <row r="38" spans="1:7">
      <c r="A38" s="10">
        <v>30.3</v>
      </c>
      <c r="B38">
        <v>30.3</v>
      </c>
      <c r="F38" s="10">
        <v>30.9</v>
      </c>
      <c r="G38">
        <v>30.9</v>
      </c>
    </row>
    <row r="39" spans="1:7">
      <c r="A39" s="10">
        <v>30.9</v>
      </c>
      <c r="B39">
        <v>30.9</v>
      </c>
      <c r="F39" s="10">
        <v>31</v>
      </c>
      <c r="G39">
        <v>31</v>
      </c>
    </row>
    <row r="40" spans="1:7">
      <c r="A40" s="10">
        <v>31</v>
      </c>
      <c r="B40">
        <v>31</v>
      </c>
      <c r="F40" s="10">
        <v>32</v>
      </c>
      <c r="G40">
        <v>32</v>
      </c>
    </row>
    <row r="41" spans="1:7">
      <c r="A41" s="10">
        <v>32</v>
      </c>
      <c r="B41">
        <v>32</v>
      </c>
      <c r="F41" s="10">
        <v>33.6</v>
      </c>
      <c r="G41">
        <v>33.6</v>
      </c>
    </row>
    <row r="42" spans="1:7">
      <c r="A42" s="10">
        <v>33.6</v>
      </c>
      <c r="B42">
        <v>33.6</v>
      </c>
      <c r="F42" s="10">
        <v>34.4</v>
      </c>
      <c r="G42">
        <v>34.4</v>
      </c>
    </row>
    <row r="43" spans="1:7">
      <c r="A43" s="10">
        <v>34.4</v>
      </c>
      <c r="B43">
        <v>34.4</v>
      </c>
      <c r="F43" s="10">
        <v>34.700000000000003</v>
      </c>
      <c r="G43">
        <v>34.700000000000003</v>
      </c>
    </row>
    <row r="44" spans="1:7">
      <c r="A44" s="10">
        <v>34.700000000000003</v>
      </c>
      <c r="B44">
        <v>34.700000000000003</v>
      </c>
      <c r="F44" s="10">
        <v>35.299999999999997</v>
      </c>
      <c r="G44">
        <v>35.299999999999997</v>
      </c>
    </row>
    <row r="45" spans="1:7">
      <c r="A45" s="10">
        <v>35.299999999999997</v>
      </c>
      <c r="B45">
        <v>35.299999999999997</v>
      </c>
      <c r="F45" s="10">
        <v>35.4</v>
      </c>
      <c r="G45">
        <v>35.4</v>
      </c>
    </row>
    <row r="46" spans="1:7">
      <c r="A46" s="10">
        <v>35.4</v>
      </c>
      <c r="B46">
        <v>35.4</v>
      </c>
      <c r="F46" s="10">
        <v>36.1</v>
      </c>
      <c r="G46">
        <v>36.1</v>
      </c>
    </row>
    <row r="47" spans="1:7">
      <c r="A47" s="10">
        <v>36.1</v>
      </c>
      <c r="B47">
        <v>36.1</v>
      </c>
      <c r="F47" s="10">
        <v>36.299999999999997</v>
      </c>
      <c r="G47">
        <v>36.299999999999997</v>
      </c>
    </row>
    <row r="48" spans="1:7">
      <c r="A48" s="10">
        <v>36.299999999999997</v>
      </c>
      <c r="B48">
        <v>36.299999999999997</v>
      </c>
      <c r="F48" s="10">
        <v>36.4</v>
      </c>
      <c r="G48">
        <v>36.4</v>
      </c>
    </row>
    <row r="49" spans="1:7">
      <c r="A49" s="10">
        <v>36.4</v>
      </c>
      <c r="B49">
        <v>36.4</v>
      </c>
      <c r="F49" s="10">
        <v>37.4</v>
      </c>
      <c r="G49">
        <v>37.4</v>
      </c>
    </row>
    <row r="50" spans="1:7">
      <c r="A50" s="10">
        <v>37.4</v>
      </c>
      <c r="B50">
        <v>37.4</v>
      </c>
      <c r="F50" s="10">
        <v>38</v>
      </c>
      <c r="G50">
        <v>38</v>
      </c>
    </row>
    <row r="51" spans="1:7">
      <c r="A51" s="10">
        <v>38</v>
      </c>
      <c r="B51">
        <v>38</v>
      </c>
      <c r="F51" s="10">
        <v>38.6</v>
      </c>
      <c r="G51">
        <v>38.6</v>
      </c>
    </row>
    <row r="52" spans="1:7">
      <c r="A52" s="10">
        <v>38.6</v>
      </c>
      <c r="B52">
        <v>38.6</v>
      </c>
      <c r="F52" s="10">
        <v>39.299999999999997</v>
      </c>
      <c r="G52">
        <v>39.299999999999997</v>
      </c>
    </row>
    <row r="53" spans="1:7">
      <c r="A53" s="10">
        <v>39.299999999999997</v>
      </c>
      <c r="B53">
        <v>39.299999999999997</v>
      </c>
      <c r="F53" s="10">
        <v>41.2</v>
      </c>
      <c r="G53">
        <v>41.2</v>
      </c>
    </row>
    <row r="54" spans="1:7">
      <c r="A54" s="10">
        <v>41.2</v>
      </c>
      <c r="B54">
        <v>41.2</v>
      </c>
      <c r="F54" s="10">
        <v>41.7</v>
      </c>
      <c r="G54">
        <v>41.7</v>
      </c>
    </row>
    <row r="55" spans="1:7">
      <c r="A55" s="10">
        <v>41.7</v>
      </c>
      <c r="B55">
        <v>41.7</v>
      </c>
      <c r="F55" s="10">
        <v>43.5</v>
      </c>
      <c r="G55">
        <v>43.5</v>
      </c>
    </row>
    <row r="56" spans="1:7">
      <c r="A56" s="10">
        <v>43.5</v>
      </c>
      <c r="B56">
        <v>43.5</v>
      </c>
      <c r="F56" s="10">
        <v>44.3</v>
      </c>
      <c r="G56">
        <v>44.3</v>
      </c>
    </row>
    <row r="57" spans="1:7">
      <c r="A57" s="10">
        <v>44.3</v>
      </c>
      <c r="B57">
        <v>44.3</v>
      </c>
      <c r="F57" s="10">
        <v>45.3</v>
      </c>
      <c r="G57">
        <v>45.3</v>
      </c>
    </row>
    <row r="58" spans="1:7">
      <c r="A58" s="10">
        <v>45.3</v>
      </c>
      <c r="B58">
        <v>45.3</v>
      </c>
      <c r="F58" s="10">
        <v>45.9</v>
      </c>
      <c r="G58">
        <v>45.9</v>
      </c>
    </row>
    <row r="59" spans="1:7">
      <c r="A59" s="10">
        <v>45.9</v>
      </c>
      <c r="B59">
        <v>45.9</v>
      </c>
      <c r="F59" s="10">
        <v>46.2</v>
      </c>
      <c r="G59">
        <v>46.2</v>
      </c>
    </row>
    <row r="60" spans="1:7">
      <c r="A60" s="10">
        <v>46.2</v>
      </c>
      <c r="B60">
        <v>46.2</v>
      </c>
      <c r="F60" s="10">
        <v>46.4</v>
      </c>
      <c r="G60">
        <v>46.4</v>
      </c>
    </row>
    <row r="61" spans="1:7">
      <c r="A61" s="10">
        <v>46.4</v>
      </c>
      <c r="B61">
        <v>46.4</v>
      </c>
      <c r="F61" s="10">
        <v>46.8</v>
      </c>
      <c r="G61">
        <v>46.8</v>
      </c>
    </row>
    <row r="62" spans="1:7">
      <c r="A62" s="10">
        <v>46.8</v>
      </c>
      <c r="B62">
        <v>46.8</v>
      </c>
      <c r="F62" s="10">
        <v>49.5</v>
      </c>
      <c r="G62">
        <v>49.5</v>
      </c>
    </row>
    <row r="63" spans="1:7">
      <c r="A63" s="10">
        <v>49.5</v>
      </c>
      <c r="B63">
        <v>49.5</v>
      </c>
      <c r="F63" s="10">
        <v>50</v>
      </c>
      <c r="G63">
        <v>50</v>
      </c>
    </row>
    <row r="64" spans="1:7">
      <c r="A64" s="10">
        <v>50</v>
      </c>
      <c r="B64">
        <v>50</v>
      </c>
      <c r="F64" s="10">
        <v>50.1</v>
      </c>
      <c r="G64">
        <v>50.1</v>
      </c>
    </row>
    <row r="65" spans="1:7">
      <c r="A65" s="10">
        <v>50.1</v>
      </c>
      <c r="B65">
        <v>50.1</v>
      </c>
      <c r="F65" s="10">
        <v>50.6</v>
      </c>
      <c r="G65">
        <v>50.6</v>
      </c>
    </row>
    <row r="66" spans="1:7">
      <c r="A66" s="10">
        <v>50.6</v>
      </c>
      <c r="B66">
        <v>50.6</v>
      </c>
      <c r="F66" s="10">
        <v>51</v>
      </c>
      <c r="G66">
        <v>51</v>
      </c>
    </row>
    <row r="67" spans="1:7">
      <c r="A67" s="10">
        <v>51</v>
      </c>
      <c r="B67">
        <v>51</v>
      </c>
      <c r="F67" s="10">
        <v>52.1</v>
      </c>
      <c r="G67">
        <v>52.1</v>
      </c>
    </row>
    <row r="68" spans="1:7">
      <c r="A68" s="10">
        <v>52.1</v>
      </c>
      <c r="B68">
        <v>52.1</v>
      </c>
      <c r="F68" s="10">
        <v>52.2</v>
      </c>
      <c r="G68">
        <v>52.2</v>
      </c>
    </row>
    <row r="69" spans="1:7">
      <c r="A69" s="10">
        <v>52.2</v>
      </c>
      <c r="B69">
        <v>52.2</v>
      </c>
      <c r="F69" s="10">
        <v>52.4</v>
      </c>
      <c r="G69">
        <v>52.4</v>
      </c>
    </row>
    <row r="70" spans="1:7">
      <c r="A70" s="10">
        <v>52.4</v>
      </c>
      <c r="B70">
        <v>52.4</v>
      </c>
      <c r="F70" s="10">
        <v>53</v>
      </c>
      <c r="G70">
        <v>53</v>
      </c>
    </row>
    <row r="71" spans="1:7">
      <c r="A71" s="10">
        <v>53</v>
      </c>
      <c r="B71">
        <v>53</v>
      </c>
      <c r="F71" s="10">
        <v>53.7</v>
      </c>
      <c r="G71">
        <v>53.7</v>
      </c>
    </row>
    <row r="72" spans="1:7">
      <c r="A72" s="10">
        <v>53.7</v>
      </c>
      <c r="B72">
        <v>53.7</v>
      </c>
      <c r="F72" s="10">
        <v>54.8</v>
      </c>
      <c r="G72">
        <v>54.8</v>
      </c>
    </row>
    <row r="73" spans="1:7">
      <c r="A73" s="10">
        <v>54.8</v>
      </c>
      <c r="B73">
        <v>54.8</v>
      </c>
      <c r="F73" s="10">
        <v>54.9</v>
      </c>
      <c r="G73">
        <v>54.9</v>
      </c>
    </row>
    <row r="74" spans="1:7">
      <c r="A74" s="10">
        <v>54.9</v>
      </c>
      <c r="B74">
        <v>54.9</v>
      </c>
      <c r="F74" s="10">
        <v>55.7</v>
      </c>
      <c r="G74">
        <v>111.4</v>
      </c>
    </row>
    <row r="75" spans="1:7">
      <c r="A75" s="10">
        <v>55.7</v>
      </c>
      <c r="B75">
        <v>111.4</v>
      </c>
      <c r="F75" s="10">
        <v>55.9</v>
      </c>
      <c r="G75">
        <v>55.9</v>
      </c>
    </row>
    <row r="76" spans="1:7">
      <c r="A76" s="10">
        <v>55.9</v>
      </c>
      <c r="B76">
        <v>55.9</v>
      </c>
      <c r="F76" s="10">
        <v>56.4</v>
      </c>
      <c r="G76">
        <v>56.4</v>
      </c>
    </row>
    <row r="77" spans="1:7">
      <c r="A77" s="10">
        <v>56.4</v>
      </c>
      <c r="B77">
        <v>56.4</v>
      </c>
      <c r="F77" s="10">
        <v>57.1</v>
      </c>
      <c r="G77">
        <v>57.1</v>
      </c>
    </row>
    <row r="78" spans="1:7">
      <c r="A78" s="10">
        <v>57.1</v>
      </c>
      <c r="B78">
        <v>57.1</v>
      </c>
      <c r="F78" s="10">
        <v>58.3</v>
      </c>
      <c r="G78">
        <v>58.3</v>
      </c>
    </row>
    <row r="79" spans="1:7">
      <c r="A79" s="10">
        <v>58.3</v>
      </c>
      <c r="B79">
        <v>58.3</v>
      </c>
      <c r="F79" s="10">
        <v>58.9</v>
      </c>
      <c r="G79">
        <v>58.9</v>
      </c>
    </row>
    <row r="80" spans="1:7">
      <c r="A80" s="10">
        <v>58.9</v>
      </c>
      <c r="B80">
        <v>58.9</v>
      </c>
      <c r="F80" s="10">
        <v>59.4</v>
      </c>
      <c r="G80">
        <v>59.4</v>
      </c>
    </row>
    <row r="81" spans="1:7">
      <c r="A81" s="10">
        <v>59.4</v>
      </c>
      <c r="B81">
        <v>59.4</v>
      </c>
      <c r="F81" s="10">
        <v>59.6</v>
      </c>
      <c r="G81">
        <v>59.6</v>
      </c>
    </row>
    <row r="82" spans="1:7">
      <c r="A82" s="10">
        <v>59.6</v>
      </c>
      <c r="B82">
        <v>59.6</v>
      </c>
      <c r="F82" s="10">
        <v>60</v>
      </c>
      <c r="G82">
        <v>60</v>
      </c>
    </row>
    <row r="83" spans="1:7">
      <c r="A83" s="10">
        <v>60</v>
      </c>
      <c r="B83">
        <v>60</v>
      </c>
      <c r="F83" s="10">
        <v>60.4</v>
      </c>
      <c r="G83">
        <v>60.4</v>
      </c>
    </row>
    <row r="84" spans="1:7">
      <c r="A84" s="10">
        <v>60.4</v>
      </c>
      <c r="B84">
        <v>60.4</v>
      </c>
      <c r="F84" s="10">
        <v>60.5</v>
      </c>
      <c r="G84">
        <v>60.5</v>
      </c>
    </row>
    <row r="85" spans="1:7">
      <c r="A85" s="10">
        <v>60.5</v>
      </c>
      <c r="B85">
        <v>60.5</v>
      </c>
      <c r="F85" s="10">
        <v>60.7</v>
      </c>
      <c r="G85">
        <v>60.7</v>
      </c>
    </row>
    <row r="86" spans="1:7">
      <c r="A86" s="10">
        <v>60.7</v>
      </c>
      <c r="B86">
        <v>60.7</v>
      </c>
      <c r="F86" s="10">
        <v>61.1</v>
      </c>
      <c r="G86">
        <v>61.1</v>
      </c>
    </row>
    <row r="87" spans="1:7">
      <c r="A87" s="10">
        <v>61.1</v>
      </c>
      <c r="B87">
        <v>61.1</v>
      </c>
      <c r="F87" s="10">
        <v>62.1</v>
      </c>
      <c r="G87">
        <v>62.1</v>
      </c>
    </row>
    <row r="88" spans="1:7">
      <c r="A88" s="10">
        <v>62.1</v>
      </c>
      <c r="B88">
        <v>62.1</v>
      </c>
      <c r="F88" s="10">
        <v>64.900000000000006</v>
      </c>
      <c r="G88">
        <v>64.900000000000006</v>
      </c>
    </row>
    <row r="89" spans="1:7">
      <c r="A89" s="10">
        <v>64.900000000000006</v>
      </c>
      <c r="B89">
        <v>64.900000000000006</v>
      </c>
      <c r="F89" s="10">
        <v>66</v>
      </c>
      <c r="G89">
        <v>66</v>
      </c>
    </row>
    <row r="90" spans="1:7">
      <c r="A90" s="10">
        <v>66</v>
      </c>
      <c r="B90">
        <v>66</v>
      </c>
      <c r="F90" s="10">
        <v>68.400000000000006</v>
      </c>
      <c r="G90">
        <v>68.400000000000006</v>
      </c>
    </row>
    <row r="91" spans="1:7">
      <c r="A91" s="10">
        <v>68.400000000000006</v>
      </c>
      <c r="B91">
        <v>68.400000000000006</v>
      </c>
      <c r="F91" s="10">
        <v>68.7</v>
      </c>
      <c r="G91">
        <v>68.7</v>
      </c>
    </row>
    <row r="92" spans="1:7">
      <c r="A92" s="10">
        <v>68.7</v>
      </c>
      <c r="B92">
        <v>68.7</v>
      </c>
      <c r="F92" s="10">
        <v>68.8</v>
      </c>
      <c r="G92">
        <v>68.8</v>
      </c>
    </row>
    <row r="93" spans="1:7">
      <c r="A93" s="10">
        <v>68.8</v>
      </c>
      <c r="B93">
        <v>68.8</v>
      </c>
      <c r="F93" s="10">
        <v>69</v>
      </c>
      <c r="G93">
        <v>69</v>
      </c>
    </row>
    <row r="94" spans="1:7">
      <c r="A94" s="10">
        <v>69</v>
      </c>
      <c r="B94">
        <v>69</v>
      </c>
      <c r="F94" s="10">
        <v>69.099999999999994</v>
      </c>
      <c r="G94">
        <v>69.099999999999994</v>
      </c>
    </row>
    <row r="95" spans="1:7">
      <c r="A95" s="10">
        <v>69.099999999999994</v>
      </c>
      <c r="B95">
        <v>69.099999999999994</v>
      </c>
      <c r="F95" s="10">
        <v>69.3</v>
      </c>
      <c r="G95">
        <v>69.3</v>
      </c>
    </row>
    <row r="96" spans="1:7">
      <c r="A96" s="10">
        <v>69.3</v>
      </c>
      <c r="B96">
        <v>69.3</v>
      </c>
      <c r="F96" s="10">
        <v>69.7</v>
      </c>
      <c r="G96">
        <v>69.7</v>
      </c>
    </row>
    <row r="97" spans="1:7">
      <c r="A97" s="10">
        <v>69.7</v>
      </c>
      <c r="B97">
        <v>69.7</v>
      </c>
      <c r="F97" s="10">
        <v>70.2</v>
      </c>
      <c r="G97">
        <v>70.2</v>
      </c>
    </row>
    <row r="98" spans="1:7">
      <c r="A98" s="10">
        <v>70.2</v>
      </c>
      <c r="B98">
        <v>70.2</v>
      </c>
      <c r="F98" s="10">
        <v>71</v>
      </c>
      <c r="G98">
        <v>71</v>
      </c>
    </row>
    <row r="99" spans="1:7">
      <c r="A99" s="10">
        <v>71</v>
      </c>
      <c r="B99">
        <v>71</v>
      </c>
    </row>
    <row r="100" spans="1:7">
      <c r="A100" s="10" t="s">
        <v>121</v>
      </c>
      <c r="B100">
        <v>3812.5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BB83-D45E-41E7-967D-B9BAFF374F93}">
  <dimension ref="A3:B9"/>
  <sheetViews>
    <sheetView workbookViewId="0">
      <selection activeCell="B3" sqref="B3"/>
    </sheetView>
  </sheetViews>
  <sheetFormatPr defaultRowHeight="13.8"/>
  <cols>
    <col min="1" max="1" width="12.3984375" bestFit="1" customWidth="1"/>
    <col min="2" max="2" width="26.09765625" bestFit="1" customWidth="1"/>
    <col min="3" max="3" width="19" bestFit="1" customWidth="1"/>
  </cols>
  <sheetData>
    <row r="3" spans="1:2">
      <c r="A3" s="9" t="s">
        <v>120</v>
      </c>
      <c r="B3" t="s">
        <v>124</v>
      </c>
    </row>
    <row r="4" spans="1:2">
      <c r="A4" s="10">
        <v>1</v>
      </c>
      <c r="B4">
        <v>789.69999999999982</v>
      </c>
    </row>
    <row r="5" spans="1:2">
      <c r="A5" s="10">
        <v>2</v>
      </c>
      <c r="B5">
        <v>656.5</v>
      </c>
    </row>
    <row r="6" spans="1:2">
      <c r="A6" s="10">
        <v>3</v>
      </c>
      <c r="B6">
        <v>835.1</v>
      </c>
    </row>
    <row r="7" spans="1:2">
      <c r="A7" s="10">
        <v>4</v>
      </c>
      <c r="B7">
        <v>719.4</v>
      </c>
    </row>
    <row r="8" spans="1:2">
      <c r="A8" s="10">
        <v>5</v>
      </c>
      <c r="B8">
        <v>811.8</v>
      </c>
    </row>
    <row r="9" spans="1:2">
      <c r="A9" s="10" t="s">
        <v>121</v>
      </c>
      <c r="B9">
        <v>3812.5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2BE03-6F5A-4B3E-9E6D-8A8A477F2043}">
  <dimension ref="A3:B9"/>
  <sheetViews>
    <sheetView workbookViewId="0">
      <selection activeCell="F7" sqref="F7"/>
    </sheetView>
  </sheetViews>
  <sheetFormatPr defaultRowHeight="13.8"/>
  <cols>
    <col min="1" max="1" width="12.3984375" bestFit="1" customWidth="1"/>
    <col min="2" max="2" width="19.8984375" bestFit="1" customWidth="1"/>
    <col min="3" max="4" width="12" bestFit="1" customWidth="1"/>
    <col min="5" max="6" width="2" bestFit="1" customWidth="1"/>
    <col min="7" max="7" width="10.59765625" bestFit="1" customWidth="1"/>
    <col min="8" max="24" width="6.296875" bestFit="1" customWidth="1"/>
    <col min="25" max="61" width="6.796875" bestFit="1" customWidth="1"/>
    <col min="62" max="67" width="6.59765625" bestFit="1" customWidth="1"/>
    <col min="68" max="68" width="10.59765625" bestFit="1" customWidth="1"/>
    <col min="69" max="69" width="19.8984375" bestFit="1" customWidth="1"/>
    <col min="70" max="70" width="17" bestFit="1" customWidth="1"/>
    <col min="71" max="71" width="19.8984375" bestFit="1" customWidth="1"/>
    <col min="72" max="72" width="17" bestFit="1" customWidth="1"/>
    <col min="73" max="73" width="19.8984375" bestFit="1" customWidth="1"/>
    <col min="74" max="74" width="17" bestFit="1" customWidth="1"/>
    <col min="75" max="75" width="19.8984375" bestFit="1" customWidth="1"/>
    <col min="76" max="76" width="17" bestFit="1" customWidth="1"/>
    <col min="77" max="77" width="19.8984375" bestFit="1" customWidth="1"/>
    <col min="78" max="78" width="17" bestFit="1" customWidth="1"/>
    <col min="79" max="79" width="19.8984375" bestFit="1" customWidth="1"/>
    <col min="80" max="80" width="17" bestFit="1" customWidth="1"/>
    <col min="81" max="81" width="19.8984375" bestFit="1" customWidth="1"/>
    <col min="82" max="82" width="17" bestFit="1" customWidth="1"/>
    <col min="83" max="83" width="19.8984375" bestFit="1" customWidth="1"/>
    <col min="84" max="84" width="17" bestFit="1" customWidth="1"/>
    <col min="85" max="85" width="19.8984375" bestFit="1" customWidth="1"/>
    <col min="86" max="86" width="17" bestFit="1" customWidth="1"/>
    <col min="87" max="87" width="19.8984375" bestFit="1" customWidth="1"/>
    <col min="88" max="88" width="17" bestFit="1" customWidth="1"/>
    <col min="89" max="89" width="19.8984375" bestFit="1" customWidth="1"/>
    <col min="90" max="90" width="17" bestFit="1" customWidth="1"/>
    <col min="91" max="91" width="19.8984375" bestFit="1" customWidth="1"/>
    <col min="92" max="92" width="17" bestFit="1" customWidth="1"/>
    <col min="93" max="93" width="19.8984375" bestFit="1" customWidth="1"/>
    <col min="94" max="94" width="17" bestFit="1" customWidth="1"/>
    <col min="95" max="95" width="19.8984375" bestFit="1" customWidth="1"/>
    <col min="96" max="96" width="17" bestFit="1" customWidth="1"/>
    <col min="97" max="97" width="19.8984375" bestFit="1" customWidth="1"/>
    <col min="98" max="98" width="17" bestFit="1" customWidth="1"/>
    <col min="99" max="99" width="19.8984375" bestFit="1" customWidth="1"/>
    <col min="100" max="100" width="17" bestFit="1" customWidth="1"/>
    <col min="101" max="101" width="19.8984375" bestFit="1" customWidth="1"/>
    <col min="102" max="102" width="17" bestFit="1" customWidth="1"/>
    <col min="103" max="103" width="19.8984375" bestFit="1" customWidth="1"/>
    <col min="104" max="104" width="17" bestFit="1" customWidth="1"/>
    <col min="105" max="105" width="19.8984375" bestFit="1" customWidth="1"/>
    <col min="106" max="106" width="17" bestFit="1" customWidth="1"/>
    <col min="107" max="107" width="19.8984375" bestFit="1" customWidth="1"/>
    <col min="108" max="108" width="17" bestFit="1" customWidth="1"/>
    <col min="109" max="109" width="19.8984375" bestFit="1" customWidth="1"/>
    <col min="110" max="110" width="17" bestFit="1" customWidth="1"/>
    <col min="111" max="111" width="19.8984375" bestFit="1" customWidth="1"/>
    <col min="112" max="112" width="17" bestFit="1" customWidth="1"/>
    <col min="113" max="113" width="19.8984375" bestFit="1" customWidth="1"/>
    <col min="114" max="114" width="17" bestFit="1" customWidth="1"/>
    <col min="115" max="115" width="19.8984375" bestFit="1" customWidth="1"/>
    <col min="116" max="116" width="17" bestFit="1" customWidth="1"/>
    <col min="117" max="117" width="19.8984375" bestFit="1" customWidth="1"/>
    <col min="118" max="118" width="17" bestFit="1" customWidth="1"/>
    <col min="119" max="119" width="19.8984375" bestFit="1" customWidth="1"/>
    <col min="120" max="120" width="17" bestFit="1" customWidth="1"/>
    <col min="121" max="121" width="19.8984375" bestFit="1" customWidth="1"/>
    <col min="122" max="122" width="17" bestFit="1" customWidth="1"/>
    <col min="123" max="123" width="19.8984375" bestFit="1" customWidth="1"/>
    <col min="124" max="124" width="17" bestFit="1" customWidth="1"/>
    <col min="125" max="125" width="19.8984375" bestFit="1" customWidth="1"/>
    <col min="126" max="126" width="17" bestFit="1" customWidth="1"/>
    <col min="127" max="127" width="19.8984375" bestFit="1" customWidth="1"/>
    <col min="128" max="128" width="17" bestFit="1" customWidth="1"/>
    <col min="129" max="129" width="19.8984375" bestFit="1" customWidth="1"/>
    <col min="130" max="130" width="17" bestFit="1" customWidth="1"/>
    <col min="131" max="131" width="19.8984375" bestFit="1" customWidth="1"/>
    <col min="132" max="132" width="17" bestFit="1" customWidth="1"/>
    <col min="133" max="133" width="19.8984375" bestFit="1" customWidth="1"/>
    <col min="134" max="134" width="10.59765625" bestFit="1" customWidth="1"/>
  </cols>
  <sheetData>
    <row r="3" spans="1:2">
      <c r="A3" s="9" t="s">
        <v>120</v>
      </c>
      <c r="B3" t="s">
        <v>126</v>
      </c>
    </row>
    <row r="4" spans="1:2">
      <c r="A4" s="10">
        <v>1</v>
      </c>
      <c r="B4">
        <v>22</v>
      </c>
    </row>
    <row r="5" spans="1:2">
      <c r="A5" s="10">
        <v>2</v>
      </c>
      <c r="B5">
        <v>16</v>
      </c>
    </row>
    <row r="6" spans="1:2">
      <c r="A6" s="10">
        <v>3</v>
      </c>
      <c r="B6">
        <v>19</v>
      </c>
    </row>
    <row r="7" spans="1:2">
      <c r="A7" s="10">
        <v>4</v>
      </c>
      <c r="B7">
        <v>20</v>
      </c>
    </row>
    <row r="8" spans="1:2">
      <c r="A8" s="10">
        <v>5</v>
      </c>
      <c r="B8">
        <v>23</v>
      </c>
    </row>
    <row r="9" spans="1:2">
      <c r="A9" s="10" t="s">
        <v>121</v>
      </c>
      <c r="B9">
        <v>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530F-97C7-4728-9EAC-7C11B87E04AF}">
  <dimension ref="A3:A4"/>
  <sheetViews>
    <sheetView workbookViewId="0">
      <selection activeCell="A3" sqref="A3"/>
    </sheetView>
  </sheetViews>
  <sheetFormatPr defaultRowHeight="13.8"/>
  <cols>
    <col min="1" max="2" width="17.8984375" bestFit="1" customWidth="1"/>
  </cols>
  <sheetData>
    <row r="3" spans="1:1">
      <c r="A3" t="s">
        <v>131</v>
      </c>
    </row>
    <row r="4" spans="1:1">
      <c r="A4">
        <v>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59F7-6E5D-4339-BB48-F194DD1904AF}">
  <dimension ref="A3:C20"/>
  <sheetViews>
    <sheetView workbookViewId="0">
      <selection activeCell="A3" sqref="A3"/>
    </sheetView>
  </sheetViews>
  <sheetFormatPr defaultRowHeight="13.8"/>
  <cols>
    <col min="1" max="1" width="12.3984375" bestFit="1" customWidth="1"/>
    <col min="2" max="2" width="17.69921875" bestFit="1" customWidth="1"/>
  </cols>
  <sheetData>
    <row r="3" spans="1:3">
      <c r="A3" s="16"/>
      <c r="B3" s="17"/>
      <c r="C3" s="18"/>
    </row>
    <row r="4" spans="1:3">
      <c r="A4" s="19"/>
      <c r="B4" s="20"/>
      <c r="C4" s="21"/>
    </row>
    <row r="5" spans="1:3">
      <c r="A5" s="19"/>
      <c r="B5" s="20"/>
      <c r="C5" s="21"/>
    </row>
    <row r="6" spans="1:3">
      <c r="A6" s="19"/>
      <c r="B6" s="20"/>
      <c r="C6" s="21"/>
    </row>
    <row r="7" spans="1:3">
      <c r="A7" s="19"/>
      <c r="B7" s="20"/>
      <c r="C7" s="21"/>
    </row>
    <row r="8" spans="1:3">
      <c r="A8" s="19"/>
      <c r="B8" s="20"/>
      <c r="C8" s="21"/>
    </row>
    <row r="9" spans="1:3">
      <c r="A9" s="19"/>
      <c r="B9" s="20"/>
      <c r="C9" s="21"/>
    </row>
    <row r="10" spans="1:3">
      <c r="A10" s="19"/>
      <c r="B10" s="20"/>
      <c r="C10" s="21"/>
    </row>
    <row r="11" spans="1:3">
      <c r="A11" s="19"/>
      <c r="B11" s="20"/>
      <c r="C11" s="21"/>
    </row>
    <row r="12" spans="1:3">
      <c r="A12" s="19"/>
      <c r="B12" s="20"/>
      <c r="C12" s="21"/>
    </row>
    <row r="13" spans="1:3">
      <c r="A13" s="19"/>
      <c r="B13" s="20"/>
      <c r="C13" s="21"/>
    </row>
    <row r="14" spans="1:3">
      <c r="A14" s="19"/>
      <c r="B14" s="20"/>
      <c r="C14" s="21"/>
    </row>
    <row r="15" spans="1:3">
      <c r="A15" s="19"/>
      <c r="B15" s="20"/>
      <c r="C15" s="21"/>
    </row>
    <row r="16" spans="1:3">
      <c r="A16" s="19"/>
      <c r="B16" s="20"/>
      <c r="C16" s="21"/>
    </row>
    <row r="17" spans="1:3">
      <c r="A17" s="19"/>
      <c r="B17" s="20"/>
      <c r="C17" s="21"/>
    </row>
    <row r="18" spans="1:3">
      <c r="A18" s="19"/>
      <c r="B18" s="20"/>
      <c r="C18" s="21"/>
    </row>
    <row r="19" spans="1:3">
      <c r="A19" s="19"/>
      <c r="B19" s="20"/>
      <c r="C19" s="21"/>
    </row>
    <row r="20" spans="1:3">
      <c r="A20" s="22"/>
      <c r="B20" s="23"/>
      <c r="C20" s="2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5E9C-6AA2-41F2-AFEF-9606CA4DE186}">
  <dimension ref="A3:B4"/>
  <sheetViews>
    <sheetView workbookViewId="0">
      <selection activeCell="A3" sqref="A3"/>
    </sheetView>
  </sheetViews>
  <sheetFormatPr defaultRowHeight="13.8"/>
  <cols>
    <col min="1" max="1" width="12.3984375" bestFit="1" customWidth="1"/>
    <col min="2" max="2" width="12" bestFit="1" customWidth="1"/>
  </cols>
  <sheetData>
    <row r="3" spans="1:2">
      <c r="A3" s="9" t="s">
        <v>120</v>
      </c>
      <c r="B3" t="s">
        <v>127</v>
      </c>
    </row>
    <row r="4" spans="1:2">
      <c r="A4" s="12" t="s">
        <v>121</v>
      </c>
      <c r="B4" s="25"/>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7B0A-2065-4BA2-BF1F-C2383D92FF35}">
  <dimension ref="A3:B9"/>
  <sheetViews>
    <sheetView workbookViewId="0">
      <selection activeCell="B3" sqref="B3"/>
    </sheetView>
  </sheetViews>
  <sheetFormatPr defaultRowHeight="13.8"/>
  <cols>
    <col min="1" max="1" width="12.3984375" bestFit="1" customWidth="1"/>
    <col min="2" max="2" width="24.296875" bestFit="1" customWidth="1"/>
  </cols>
  <sheetData>
    <row r="3" spans="1:2">
      <c r="A3" s="9" t="s">
        <v>120</v>
      </c>
      <c r="B3" t="s">
        <v>122</v>
      </c>
    </row>
    <row r="4" spans="1:2">
      <c r="A4" s="10" t="s">
        <v>10</v>
      </c>
      <c r="B4">
        <v>22</v>
      </c>
    </row>
    <row r="5" spans="1:2">
      <c r="A5" s="10" t="s">
        <v>30</v>
      </c>
      <c r="B5">
        <v>18</v>
      </c>
    </row>
    <row r="6" spans="1:2">
      <c r="A6" s="10" t="s">
        <v>15</v>
      </c>
      <c r="B6">
        <v>24</v>
      </c>
    </row>
    <row r="7" spans="1:2">
      <c r="A7" s="10" t="s">
        <v>12</v>
      </c>
      <c r="B7">
        <v>19</v>
      </c>
    </row>
    <row r="8" spans="1:2">
      <c r="A8" s="10" t="s">
        <v>7</v>
      </c>
      <c r="B8">
        <v>17</v>
      </c>
    </row>
    <row r="9" spans="1:2">
      <c r="A9" s="10" t="s">
        <v>121</v>
      </c>
      <c r="B9">
        <v>100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F0512-2438-4B4D-A28E-62EA44D4E1B1}">
  <dimension ref="A3:B9"/>
  <sheetViews>
    <sheetView workbookViewId="0">
      <selection activeCell="B3" sqref="B3"/>
    </sheetView>
  </sheetViews>
  <sheetFormatPr defaultRowHeight="13.8"/>
  <cols>
    <col min="1" max="1" width="12.3984375" bestFit="1" customWidth="1"/>
    <col min="2" max="2" width="20.09765625" bestFit="1" customWidth="1"/>
  </cols>
  <sheetData>
    <row r="3" spans="1:2">
      <c r="A3" s="9" t="s">
        <v>120</v>
      </c>
      <c r="B3" t="s">
        <v>128</v>
      </c>
    </row>
    <row r="4" spans="1:2">
      <c r="A4" s="10">
        <v>1</v>
      </c>
      <c r="B4">
        <v>22</v>
      </c>
    </row>
    <row r="5" spans="1:2">
      <c r="A5" s="10">
        <v>2</v>
      </c>
      <c r="B5">
        <v>16</v>
      </c>
    </row>
    <row r="6" spans="1:2">
      <c r="A6" s="10">
        <v>3</v>
      </c>
      <c r="B6">
        <v>19</v>
      </c>
    </row>
    <row r="7" spans="1:2">
      <c r="A7" s="10">
        <v>4</v>
      </c>
      <c r="B7">
        <v>20</v>
      </c>
    </row>
    <row r="8" spans="1:2">
      <c r="A8" s="10">
        <v>5</v>
      </c>
      <c r="B8">
        <v>23</v>
      </c>
    </row>
    <row r="9" spans="1:2">
      <c r="A9" s="10" t="s">
        <v>121</v>
      </c>
      <c r="B9">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3931-95A7-4BD5-BB20-8CC10ED28AE4}">
  <dimension ref="A3:G19"/>
  <sheetViews>
    <sheetView workbookViewId="0">
      <selection activeCell="B3" sqref="B3"/>
    </sheetView>
  </sheetViews>
  <sheetFormatPr defaultRowHeight="13.8"/>
  <cols>
    <col min="1" max="1" width="12.3984375" bestFit="1" customWidth="1"/>
    <col min="2" max="2" width="26.09765625" bestFit="1" customWidth="1"/>
    <col min="6" max="6" width="11.69921875" bestFit="1" customWidth="1"/>
    <col min="7" max="7" width="12.296875" bestFit="1" customWidth="1"/>
  </cols>
  <sheetData>
    <row r="3" spans="1:7">
      <c r="A3" s="9" t="s">
        <v>120</v>
      </c>
      <c r="B3" t="s">
        <v>124</v>
      </c>
    </row>
    <row r="4" spans="1:7">
      <c r="A4" s="10">
        <v>1</v>
      </c>
      <c r="B4">
        <v>789.69999999999982</v>
      </c>
    </row>
    <row r="5" spans="1:7">
      <c r="A5" s="10">
        <v>2</v>
      </c>
      <c r="B5">
        <v>656.5</v>
      </c>
      <c r="F5" t="s">
        <v>132</v>
      </c>
      <c r="G5" t="s">
        <v>133</v>
      </c>
    </row>
    <row r="6" spans="1:7">
      <c r="A6" s="10">
        <v>3</v>
      </c>
      <c r="B6">
        <v>835.1</v>
      </c>
      <c r="F6" s="10">
        <v>1</v>
      </c>
      <c r="G6">
        <v>789.69999999999982</v>
      </c>
    </row>
    <row r="7" spans="1:7">
      <c r="A7" s="10">
        <v>4</v>
      </c>
      <c r="B7">
        <v>719.4</v>
      </c>
      <c r="F7" s="10">
        <v>2</v>
      </c>
      <c r="G7">
        <v>656.5</v>
      </c>
    </row>
    <row r="8" spans="1:7">
      <c r="A8" s="10">
        <v>5</v>
      </c>
      <c r="B8">
        <v>811.8</v>
      </c>
      <c r="F8" s="10">
        <v>3</v>
      </c>
      <c r="G8">
        <v>835.1</v>
      </c>
    </row>
    <row r="9" spans="1:7">
      <c r="A9" s="10" t="s">
        <v>121</v>
      </c>
      <c r="B9">
        <v>3812.5</v>
      </c>
      <c r="F9" s="10">
        <v>4</v>
      </c>
      <c r="G9">
        <v>719.4</v>
      </c>
    </row>
    <row r="10" spans="1:7">
      <c r="F10" s="10">
        <v>5</v>
      </c>
      <c r="G10">
        <v>811.8</v>
      </c>
    </row>
    <row r="15" spans="1:7">
      <c r="B15" s="10"/>
    </row>
    <row r="16" spans="1:7">
      <c r="B16" s="10"/>
    </row>
    <row r="17" spans="2:2">
      <c r="B17" s="10"/>
    </row>
    <row r="18" spans="2:2">
      <c r="B18" s="10"/>
    </row>
    <row r="19" spans="2:2">
      <c r="B19" s="10"/>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8BAA8-39D4-4A38-9663-74A2CE7CF36C}">
  <dimension ref="A1:B9"/>
  <sheetViews>
    <sheetView workbookViewId="0">
      <selection activeCell="A3" sqref="A3"/>
    </sheetView>
  </sheetViews>
  <sheetFormatPr defaultRowHeight="13.8"/>
  <cols>
    <col min="1" max="1" width="12.796875" bestFit="1" customWidth="1"/>
    <col min="2" max="2" width="20.59765625" bestFit="1" customWidth="1"/>
  </cols>
  <sheetData>
    <row r="1" spans="1:2">
      <c r="A1" s="9" t="s">
        <v>5</v>
      </c>
      <c r="B1" t="s">
        <v>13</v>
      </c>
    </row>
    <row r="3" spans="1:2">
      <c r="A3" s="9" t="s">
        <v>120</v>
      </c>
      <c r="B3" t="s">
        <v>130</v>
      </c>
    </row>
    <row r="4" spans="1:2">
      <c r="A4" s="10" t="s">
        <v>10</v>
      </c>
      <c r="B4">
        <v>18</v>
      </c>
    </row>
    <row r="5" spans="1:2">
      <c r="A5" s="10" t="s">
        <v>30</v>
      </c>
      <c r="B5">
        <v>14</v>
      </c>
    </row>
    <row r="6" spans="1:2">
      <c r="A6" s="10" t="s">
        <v>15</v>
      </c>
      <c r="B6">
        <v>19</v>
      </c>
    </row>
    <row r="7" spans="1:2">
      <c r="A7" s="10" t="s">
        <v>12</v>
      </c>
      <c r="B7">
        <v>16</v>
      </c>
    </row>
    <row r="8" spans="1:2">
      <c r="A8" s="10" t="s">
        <v>7</v>
      </c>
      <c r="B8">
        <v>13</v>
      </c>
    </row>
    <row r="9" spans="1:2">
      <c r="A9" s="10" t="s">
        <v>121</v>
      </c>
      <c r="B9">
        <v>80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00E65-49C3-47AB-8801-76E3366DF847}">
  <dimension ref="A3:F11"/>
  <sheetViews>
    <sheetView workbookViewId="0">
      <selection activeCell="E6" sqref="E6:F11"/>
    </sheetView>
  </sheetViews>
  <sheetFormatPr defaultRowHeight="13.8"/>
  <cols>
    <col min="1" max="1" width="12.3984375" bestFit="1" customWidth="1"/>
    <col min="2" max="2" width="20.09765625" bestFit="1" customWidth="1"/>
    <col min="5" max="5" width="21" customWidth="1"/>
    <col min="6" max="6" width="16.69921875" customWidth="1"/>
    <col min="7" max="7" width="11.796875" customWidth="1"/>
  </cols>
  <sheetData>
    <row r="3" spans="1:6">
      <c r="A3" s="9" t="s">
        <v>120</v>
      </c>
      <c r="B3" t="s">
        <v>128</v>
      </c>
    </row>
    <row r="4" spans="1:6">
      <c r="A4" s="10" t="s">
        <v>10</v>
      </c>
      <c r="B4">
        <v>22</v>
      </c>
    </row>
    <row r="5" spans="1:6">
      <c r="A5" s="10" t="s">
        <v>30</v>
      </c>
      <c r="B5">
        <v>18</v>
      </c>
    </row>
    <row r="6" spans="1:6">
      <c r="A6" s="10" t="s">
        <v>15</v>
      </c>
      <c r="B6">
        <v>24</v>
      </c>
      <c r="E6" t="s">
        <v>134</v>
      </c>
      <c r="F6" t="s">
        <v>135</v>
      </c>
    </row>
    <row r="7" spans="1:6">
      <c r="A7" s="10" t="s">
        <v>12</v>
      </c>
      <c r="B7">
        <v>19</v>
      </c>
      <c r="E7" s="10" t="s">
        <v>7</v>
      </c>
      <c r="F7">
        <v>17</v>
      </c>
    </row>
    <row r="8" spans="1:6">
      <c r="A8" s="10" t="s">
        <v>7</v>
      </c>
      <c r="B8">
        <v>17</v>
      </c>
      <c r="E8" s="10" t="s">
        <v>30</v>
      </c>
      <c r="F8">
        <v>18</v>
      </c>
    </row>
    <row r="9" spans="1:6">
      <c r="A9" s="10" t="s">
        <v>121</v>
      </c>
      <c r="B9">
        <v>100</v>
      </c>
      <c r="E9" s="10" t="s">
        <v>12</v>
      </c>
      <c r="F9">
        <v>19</v>
      </c>
    </row>
    <row r="10" spans="1:6">
      <c r="E10" s="10" t="s">
        <v>10</v>
      </c>
      <c r="F10">
        <v>22</v>
      </c>
    </row>
    <row r="11" spans="1:6">
      <c r="E11" s="10" t="s">
        <v>15</v>
      </c>
      <c r="F11">
        <v>24</v>
      </c>
    </row>
  </sheetData>
  <conditionalFormatting sqref="A4:A8">
    <cfRule type="colorScale" priority="3">
      <colorScale>
        <cfvo type="num" val="17"/>
        <cfvo type="num" val="19"/>
        <cfvo type="num" val="24"/>
        <color rgb="FFFF0000"/>
        <color rgb="FFFFFF00"/>
        <color rgb="FF00B050"/>
      </colorScale>
    </cfRule>
    <cfRule type="colorScale" priority="4">
      <colorScale>
        <cfvo type="num" val="17"/>
        <cfvo type="num" val="24"/>
        <color rgb="FFFF0000"/>
        <color rgb="FF00B050"/>
      </colorScale>
    </cfRule>
  </conditionalFormatting>
  <conditionalFormatting sqref="E7:F11">
    <cfRule type="colorScale" priority="1">
      <colorScale>
        <cfvo type="num" val="17"/>
        <cfvo type="num" val="19"/>
        <cfvo type="num" val="24"/>
        <color rgb="FFFF0000"/>
        <color rgb="FFFFFF00"/>
        <color rgb="FF00B050"/>
      </colorScale>
    </cfRule>
    <cfRule type="colorScale" priority="2">
      <colorScale>
        <cfvo type="num" val="17"/>
        <cfvo type="num" val="24"/>
        <color rgb="FFFF0000"/>
        <color rgb="FF00B050"/>
      </colorScale>
    </cfRule>
  </conditionalFormatting>
  <conditionalFormatting sqref="G7:G11">
    <cfRule type="colorScale" priority="5">
      <colorScale>
        <cfvo type="num" val="17"/>
        <cfvo type="percentile" val="19"/>
        <cfvo type="num" val="24"/>
        <color rgb="FFF8696B"/>
        <color rgb="FFFFEB84"/>
        <color rgb="FF63BE7B"/>
      </colorScale>
    </cfRule>
  </conditionalFormatting>
  <pageMargins left="0.7" right="0.7" top="0.75" bottom="0.75" header="0.3" footer="0.3"/>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A3CD8-52EF-49B4-9C9A-C6644AFF5706}">
  <dimension ref="A1"/>
  <sheetViews>
    <sheetView topLeftCell="D4" zoomScale="57" workbookViewId="0">
      <selection activeCell="A3" sqref="A3"/>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D217C-503B-4064-8908-C047B5F69BE3}">
  <dimension ref="A3:A6"/>
  <sheetViews>
    <sheetView workbookViewId="0">
      <selection activeCell="A3" sqref="A3"/>
    </sheetView>
  </sheetViews>
  <sheetFormatPr defaultRowHeight="13.8"/>
  <cols>
    <col min="1" max="1" width="12.3984375" bestFit="1" customWidth="1"/>
    <col min="2" max="2" width="17.69921875" bestFit="1" customWidth="1"/>
  </cols>
  <sheetData>
    <row r="3" spans="1:1">
      <c r="A3" s="9" t="s">
        <v>120</v>
      </c>
    </row>
    <row r="4" spans="1:1">
      <c r="A4" s="10" t="s">
        <v>8</v>
      </c>
    </row>
    <row r="5" spans="1:1">
      <c r="A5" s="10" t="s">
        <v>13</v>
      </c>
    </row>
    <row r="6" spans="1:1">
      <c r="A6" s="10" t="s">
        <v>121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786B3-19EF-49F0-9F7C-25B4C5874506}">
  <dimension ref="A1:P101"/>
  <sheetViews>
    <sheetView tabSelected="1" workbookViewId="0">
      <selection activeCell="P6" sqref="P6"/>
    </sheetView>
  </sheetViews>
  <sheetFormatPr defaultRowHeight="13.8"/>
  <cols>
    <col min="2" max="2" width="17.59765625" customWidth="1"/>
    <col min="6" max="6" width="15.296875" customWidth="1"/>
    <col min="7" max="7" width="13.09765625" customWidth="1"/>
    <col min="8" max="8" width="13.796875" customWidth="1"/>
    <col min="10" max="10" width="11.69921875" customWidth="1"/>
  </cols>
  <sheetData>
    <row r="1" spans="1:16" ht="43.8" thickBot="1">
      <c r="A1" s="1" t="s">
        <v>0</v>
      </c>
      <c r="B1" s="2" t="s">
        <v>1</v>
      </c>
      <c r="C1" s="2" t="s">
        <v>2</v>
      </c>
      <c r="D1" s="2" t="s">
        <v>3</v>
      </c>
      <c r="E1" s="2" t="s">
        <v>4</v>
      </c>
      <c r="F1" s="3" t="s">
        <v>5</v>
      </c>
      <c r="G1" s="7" t="s">
        <v>113</v>
      </c>
      <c r="H1" s="8" t="s">
        <v>114</v>
      </c>
      <c r="I1" s="8" t="s">
        <v>115</v>
      </c>
      <c r="J1" s="8" t="s">
        <v>116</v>
      </c>
    </row>
    <row r="2" spans="1:16" ht="15" thickBot="1">
      <c r="A2" s="4" t="s">
        <v>6</v>
      </c>
      <c r="B2" s="5">
        <v>45385</v>
      </c>
      <c r="C2" s="6">
        <v>5</v>
      </c>
      <c r="D2" s="4" t="s">
        <v>7</v>
      </c>
      <c r="E2" s="6">
        <v>24.8</v>
      </c>
      <c r="F2" s="4" t="s">
        <v>8</v>
      </c>
      <c r="G2">
        <f>COUNTIF(C2:C101,"&gt;=4")</f>
        <v>43</v>
      </c>
      <c r="H2">
        <f>COUNTIF(C2:C101,"&lt;=2")</f>
        <v>38</v>
      </c>
      <c r="I2">
        <f>(G2-H2)/100*100</f>
        <v>5</v>
      </c>
      <c r="J2">
        <f>COUNTIF(F2:F101,"=yes")</f>
        <v>80</v>
      </c>
    </row>
    <row r="3" spans="1:16" ht="15" thickBot="1">
      <c r="A3" s="4" t="s">
        <v>9</v>
      </c>
      <c r="B3" s="5">
        <v>45342</v>
      </c>
      <c r="C3" s="6">
        <v>1</v>
      </c>
      <c r="D3" s="4" t="s">
        <v>10</v>
      </c>
      <c r="E3" s="6">
        <v>59.6</v>
      </c>
      <c r="F3" s="4" t="s">
        <v>8</v>
      </c>
      <c r="L3">
        <v>1</v>
      </c>
      <c r="M3" t="s">
        <v>117</v>
      </c>
      <c r="P3">
        <f>AVERAGE(C2:C101)</f>
        <v>3.06</v>
      </c>
    </row>
    <row r="4" spans="1:16" ht="15" thickBot="1">
      <c r="A4" s="4" t="s">
        <v>11</v>
      </c>
      <c r="B4" s="5">
        <v>45353</v>
      </c>
      <c r="C4" s="6">
        <v>1</v>
      </c>
      <c r="D4" s="4" t="s">
        <v>12</v>
      </c>
      <c r="E4" s="6">
        <v>26.8</v>
      </c>
      <c r="F4" s="4" t="s">
        <v>13</v>
      </c>
      <c r="M4" t="s">
        <v>113</v>
      </c>
      <c r="P4">
        <f>COUNTIF(C1:C101,"&gt;=4")</f>
        <v>43</v>
      </c>
    </row>
    <row r="5" spans="1:16" ht="15" thickBot="1">
      <c r="A5" s="4" t="s">
        <v>14</v>
      </c>
      <c r="B5" s="5">
        <v>45348</v>
      </c>
      <c r="C5" s="6">
        <v>1</v>
      </c>
      <c r="D5" s="4" t="s">
        <v>15</v>
      </c>
      <c r="E5" s="6">
        <v>3.4</v>
      </c>
      <c r="F5" s="4" t="s">
        <v>13</v>
      </c>
      <c r="M5" t="s">
        <v>114</v>
      </c>
      <c r="P5">
        <f>COUNTIFS(C2:C101,"&lt;=2")</f>
        <v>38</v>
      </c>
    </row>
    <row r="6" spans="1:16" ht="15" thickBot="1">
      <c r="A6" s="4" t="s">
        <v>16</v>
      </c>
      <c r="B6" s="5">
        <v>45357</v>
      </c>
      <c r="C6" s="6">
        <v>1</v>
      </c>
      <c r="D6" s="4" t="s">
        <v>12</v>
      </c>
      <c r="E6" s="6">
        <v>60</v>
      </c>
      <c r="F6" s="4" t="s">
        <v>13</v>
      </c>
      <c r="M6" t="s">
        <v>115</v>
      </c>
      <c r="P6">
        <f>((P4-P5)/100)*100</f>
        <v>5</v>
      </c>
    </row>
    <row r="7" spans="1:16" ht="15" thickBot="1">
      <c r="A7" s="4" t="s">
        <v>17</v>
      </c>
      <c r="B7" s="5">
        <v>45370</v>
      </c>
      <c r="C7" s="6">
        <v>1</v>
      </c>
      <c r="D7" s="4" t="s">
        <v>12</v>
      </c>
      <c r="E7" s="6">
        <v>25.5</v>
      </c>
      <c r="F7" s="4" t="s">
        <v>13</v>
      </c>
      <c r="M7" t="s">
        <v>116</v>
      </c>
      <c r="P7">
        <f>(COUNTIF(F2:F101,"yes"))/100*100</f>
        <v>80</v>
      </c>
    </row>
    <row r="8" spans="1:16" ht="15" thickBot="1">
      <c r="A8" s="4" t="s">
        <v>18</v>
      </c>
      <c r="B8" s="5">
        <v>45366</v>
      </c>
      <c r="C8" s="6">
        <v>2</v>
      </c>
      <c r="D8" s="4" t="s">
        <v>15</v>
      </c>
      <c r="E8" s="6">
        <v>55.9</v>
      </c>
      <c r="F8" s="4" t="s">
        <v>13</v>
      </c>
      <c r="M8" t="s">
        <v>118</v>
      </c>
      <c r="P8">
        <f>AVERAGE(E2:E101)</f>
        <v>38.125000000000007</v>
      </c>
    </row>
    <row r="9" spans="1:16" ht="15" thickBot="1">
      <c r="A9" s="4" t="s">
        <v>19</v>
      </c>
      <c r="B9" s="5">
        <v>45299</v>
      </c>
      <c r="C9" s="6">
        <v>5</v>
      </c>
      <c r="D9" s="4" t="s">
        <v>12</v>
      </c>
      <c r="E9" s="6">
        <v>26.8</v>
      </c>
      <c r="F9" s="4" t="s">
        <v>13</v>
      </c>
      <c r="M9" t="s">
        <v>119</v>
      </c>
      <c r="P9">
        <f>COUNTA(D2:D101)</f>
        <v>100</v>
      </c>
    </row>
    <row r="10" spans="1:16" ht="15" thickBot="1">
      <c r="A10" s="4" t="s">
        <v>20</v>
      </c>
      <c r="B10" s="5">
        <v>45317</v>
      </c>
      <c r="C10" s="6">
        <v>3</v>
      </c>
      <c r="D10" s="4" t="s">
        <v>15</v>
      </c>
      <c r="E10" s="6">
        <v>62.1</v>
      </c>
      <c r="F10" s="4" t="s">
        <v>8</v>
      </c>
    </row>
    <row r="11" spans="1:16" ht="15" thickBot="1">
      <c r="A11" s="4" t="s">
        <v>21</v>
      </c>
      <c r="B11" s="5">
        <v>45342</v>
      </c>
      <c r="C11" s="6">
        <v>3</v>
      </c>
      <c r="D11" s="4" t="s">
        <v>10</v>
      </c>
      <c r="E11" s="6">
        <v>16.600000000000001</v>
      </c>
      <c r="F11" s="4" t="s">
        <v>13</v>
      </c>
    </row>
    <row r="12" spans="1:16" ht="15" thickBot="1">
      <c r="A12" s="4" t="s">
        <v>22</v>
      </c>
      <c r="B12" s="5">
        <v>45336</v>
      </c>
      <c r="C12" s="6">
        <v>3</v>
      </c>
      <c r="D12" s="4" t="s">
        <v>15</v>
      </c>
      <c r="E12" s="6">
        <v>70.2</v>
      </c>
      <c r="F12" s="4" t="s">
        <v>13</v>
      </c>
    </row>
    <row r="13" spans="1:16" ht="15" thickBot="1">
      <c r="A13" s="4" t="s">
        <v>23</v>
      </c>
      <c r="B13" s="5">
        <v>45335</v>
      </c>
      <c r="C13" s="6">
        <v>3</v>
      </c>
      <c r="D13" s="4" t="s">
        <v>15</v>
      </c>
      <c r="E13" s="6">
        <v>56.4</v>
      </c>
      <c r="F13" s="4" t="s">
        <v>13</v>
      </c>
    </row>
    <row r="14" spans="1:16" ht="15" thickBot="1">
      <c r="A14" s="4" t="s">
        <v>24</v>
      </c>
      <c r="B14" s="5">
        <v>45296</v>
      </c>
      <c r="C14" s="6">
        <v>2</v>
      </c>
      <c r="D14" s="4" t="s">
        <v>7</v>
      </c>
      <c r="E14" s="6">
        <v>9.1</v>
      </c>
      <c r="F14" s="4" t="s">
        <v>13</v>
      </c>
    </row>
    <row r="15" spans="1:16" ht="15" thickBot="1">
      <c r="A15" s="4" t="s">
        <v>25</v>
      </c>
      <c r="B15" s="5">
        <v>45361</v>
      </c>
      <c r="C15" s="6">
        <v>4</v>
      </c>
      <c r="D15" s="4" t="s">
        <v>15</v>
      </c>
      <c r="E15" s="6">
        <v>41.2</v>
      </c>
      <c r="F15" s="4" t="s">
        <v>13</v>
      </c>
    </row>
    <row r="16" spans="1:16" ht="15" thickBot="1">
      <c r="A16" s="4" t="s">
        <v>26</v>
      </c>
      <c r="B16" s="5">
        <v>45317</v>
      </c>
      <c r="C16" s="6">
        <v>5</v>
      </c>
      <c r="D16" s="4" t="s">
        <v>15</v>
      </c>
      <c r="E16" s="6">
        <v>71</v>
      </c>
      <c r="F16" s="4" t="s">
        <v>13</v>
      </c>
    </row>
    <row r="17" spans="1:6" ht="15" thickBot="1">
      <c r="A17" s="4" t="s">
        <v>27</v>
      </c>
      <c r="B17" s="5">
        <v>45359</v>
      </c>
      <c r="C17" s="6">
        <v>1</v>
      </c>
      <c r="D17" s="4" t="s">
        <v>10</v>
      </c>
      <c r="E17" s="6">
        <v>34.4</v>
      </c>
      <c r="F17" s="4" t="s">
        <v>13</v>
      </c>
    </row>
    <row r="18" spans="1:6" ht="15" thickBot="1">
      <c r="A18" s="4" t="s">
        <v>28</v>
      </c>
      <c r="B18" s="5">
        <v>45310</v>
      </c>
      <c r="C18" s="6">
        <v>4</v>
      </c>
      <c r="D18" s="4" t="s">
        <v>7</v>
      </c>
      <c r="E18" s="6">
        <v>13.9</v>
      </c>
      <c r="F18" s="4" t="s">
        <v>13</v>
      </c>
    </row>
    <row r="19" spans="1:6" ht="15" thickBot="1">
      <c r="A19" s="4" t="s">
        <v>29</v>
      </c>
      <c r="B19" s="5">
        <v>45375</v>
      </c>
      <c r="C19" s="6">
        <v>3</v>
      </c>
      <c r="D19" s="4" t="s">
        <v>30</v>
      </c>
      <c r="E19" s="6">
        <v>35.4</v>
      </c>
      <c r="F19" s="4" t="s">
        <v>13</v>
      </c>
    </row>
    <row r="20" spans="1:6" ht="15" thickBot="1">
      <c r="A20" s="4" t="s">
        <v>31</v>
      </c>
      <c r="B20" s="5">
        <v>45388</v>
      </c>
      <c r="C20" s="6">
        <v>4</v>
      </c>
      <c r="D20" s="4" t="s">
        <v>10</v>
      </c>
      <c r="E20" s="6">
        <v>37.4</v>
      </c>
      <c r="F20" s="4" t="s">
        <v>13</v>
      </c>
    </row>
    <row r="21" spans="1:6" ht="15" thickBot="1">
      <c r="A21" s="4" t="s">
        <v>32</v>
      </c>
      <c r="B21" s="5">
        <v>45311</v>
      </c>
      <c r="C21" s="6">
        <v>5</v>
      </c>
      <c r="D21" s="4" t="s">
        <v>10</v>
      </c>
      <c r="E21" s="6">
        <v>53.7</v>
      </c>
      <c r="F21" s="4" t="s">
        <v>13</v>
      </c>
    </row>
    <row r="22" spans="1:6" ht="15" thickBot="1">
      <c r="A22" s="4" t="s">
        <v>33</v>
      </c>
      <c r="B22" s="5">
        <v>45303</v>
      </c>
      <c r="C22" s="6">
        <v>1</v>
      </c>
      <c r="D22" s="4" t="s">
        <v>30</v>
      </c>
      <c r="E22" s="6">
        <v>50.6</v>
      </c>
      <c r="F22" s="4" t="s">
        <v>13</v>
      </c>
    </row>
    <row r="23" spans="1:6" ht="15" thickBot="1">
      <c r="A23" s="4" t="s">
        <v>34</v>
      </c>
      <c r="B23" s="5">
        <v>45338</v>
      </c>
      <c r="C23" s="6">
        <v>1</v>
      </c>
      <c r="D23" s="4" t="s">
        <v>15</v>
      </c>
      <c r="E23" s="6">
        <v>29.6</v>
      </c>
      <c r="F23" s="4" t="s">
        <v>13</v>
      </c>
    </row>
    <row r="24" spans="1:6" ht="15" thickBot="1">
      <c r="A24" s="4" t="s">
        <v>35</v>
      </c>
      <c r="B24" s="5">
        <v>45292</v>
      </c>
      <c r="C24" s="6">
        <v>5</v>
      </c>
      <c r="D24" s="4" t="s">
        <v>12</v>
      </c>
      <c r="E24" s="6">
        <v>16.5</v>
      </c>
      <c r="F24" s="4" t="s">
        <v>13</v>
      </c>
    </row>
    <row r="25" spans="1:6" ht="15" thickBot="1">
      <c r="A25" s="4" t="s">
        <v>36</v>
      </c>
      <c r="B25" s="5">
        <v>45381</v>
      </c>
      <c r="C25" s="6">
        <v>5</v>
      </c>
      <c r="D25" s="4" t="s">
        <v>7</v>
      </c>
      <c r="E25" s="6">
        <v>46.8</v>
      </c>
      <c r="F25" s="4" t="s">
        <v>13</v>
      </c>
    </row>
    <row r="26" spans="1:6" ht="15" thickBot="1">
      <c r="A26" s="4" t="s">
        <v>37</v>
      </c>
      <c r="B26" s="5">
        <v>45305</v>
      </c>
      <c r="C26" s="6">
        <v>3</v>
      </c>
      <c r="D26" s="4" t="s">
        <v>12</v>
      </c>
      <c r="E26" s="6">
        <v>30.9</v>
      </c>
      <c r="F26" s="4" t="s">
        <v>13</v>
      </c>
    </row>
    <row r="27" spans="1:6" ht="15" thickBot="1">
      <c r="A27" s="4" t="s">
        <v>38</v>
      </c>
      <c r="B27" s="5">
        <v>45355</v>
      </c>
      <c r="C27" s="6">
        <v>1</v>
      </c>
      <c r="D27" s="4" t="s">
        <v>30</v>
      </c>
      <c r="E27" s="6">
        <v>10.4</v>
      </c>
      <c r="F27" s="4" t="s">
        <v>13</v>
      </c>
    </row>
    <row r="28" spans="1:6" ht="15" thickBot="1">
      <c r="A28" s="4" t="s">
        <v>39</v>
      </c>
      <c r="B28" s="5">
        <v>45329</v>
      </c>
      <c r="C28" s="6">
        <v>4</v>
      </c>
      <c r="D28" s="4" t="s">
        <v>10</v>
      </c>
      <c r="E28" s="6">
        <v>64.900000000000006</v>
      </c>
      <c r="F28" s="4" t="s">
        <v>13</v>
      </c>
    </row>
    <row r="29" spans="1:6" ht="15" thickBot="1">
      <c r="A29" s="4" t="s">
        <v>40</v>
      </c>
      <c r="B29" s="5">
        <v>45328</v>
      </c>
      <c r="C29" s="6">
        <v>2</v>
      </c>
      <c r="D29" s="4" t="s">
        <v>10</v>
      </c>
      <c r="E29" s="6">
        <v>50.1</v>
      </c>
      <c r="F29" s="4" t="s">
        <v>8</v>
      </c>
    </row>
    <row r="30" spans="1:6" ht="15" thickBot="1">
      <c r="A30" s="4" t="s">
        <v>41</v>
      </c>
      <c r="B30" s="5">
        <v>45302</v>
      </c>
      <c r="C30" s="6">
        <v>2</v>
      </c>
      <c r="D30" s="4" t="s">
        <v>7</v>
      </c>
      <c r="E30" s="6">
        <v>49.5</v>
      </c>
      <c r="F30" s="4" t="s">
        <v>13</v>
      </c>
    </row>
    <row r="31" spans="1:6" ht="15" thickBot="1">
      <c r="A31" s="4" t="s">
        <v>42</v>
      </c>
      <c r="B31" s="5">
        <v>45391</v>
      </c>
      <c r="C31" s="6">
        <v>5</v>
      </c>
      <c r="D31" s="4" t="s">
        <v>10</v>
      </c>
      <c r="E31" s="6">
        <v>59.4</v>
      </c>
      <c r="F31" s="4" t="s">
        <v>13</v>
      </c>
    </row>
    <row r="32" spans="1:6" ht="15" thickBot="1">
      <c r="A32" s="4" t="s">
        <v>43</v>
      </c>
      <c r="B32" s="5">
        <v>45368</v>
      </c>
      <c r="C32" s="6">
        <v>3</v>
      </c>
      <c r="D32" s="4" t="s">
        <v>10</v>
      </c>
      <c r="E32" s="6">
        <v>38.6</v>
      </c>
      <c r="F32" s="4" t="s">
        <v>13</v>
      </c>
    </row>
    <row r="33" spans="1:6" ht="15" thickBot="1">
      <c r="A33" s="4" t="s">
        <v>44</v>
      </c>
      <c r="B33" s="5">
        <v>45294</v>
      </c>
      <c r="C33" s="6">
        <v>2</v>
      </c>
      <c r="D33" s="4" t="s">
        <v>7</v>
      </c>
      <c r="E33" s="6">
        <v>58.9</v>
      </c>
      <c r="F33" s="4" t="s">
        <v>13</v>
      </c>
    </row>
    <row r="34" spans="1:6" ht="15" thickBot="1">
      <c r="A34" s="4" t="s">
        <v>45</v>
      </c>
      <c r="B34" s="5">
        <v>45324</v>
      </c>
      <c r="C34" s="6">
        <v>1</v>
      </c>
      <c r="D34" s="4" t="s">
        <v>7</v>
      </c>
      <c r="E34" s="6">
        <v>36.4</v>
      </c>
      <c r="F34" s="4" t="s">
        <v>8</v>
      </c>
    </row>
    <row r="35" spans="1:6" ht="15" thickBot="1">
      <c r="A35" s="4" t="s">
        <v>46</v>
      </c>
      <c r="B35" s="5">
        <v>45297</v>
      </c>
      <c r="C35" s="6">
        <v>5</v>
      </c>
      <c r="D35" s="4" t="s">
        <v>30</v>
      </c>
      <c r="E35" s="6">
        <v>5.8</v>
      </c>
      <c r="F35" s="4" t="s">
        <v>13</v>
      </c>
    </row>
    <row r="36" spans="1:6" ht="15" thickBot="1">
      <c r="A36" s="4" t="s">
        <v>47</v>
      </c>
      <c r="B36" s="5">
        <v>45341</v>
      </c>
      <c r="C36" s="6">
        <v>4</v>
      </c>
      <c r="D36" s="4" t="s">
        <v>10</v>
      </c>
      <c r="E36" s="6">
        <v>29.8</v>
      </c>
      <c r="F36" s="4" t="s">
        <v>13</v>
      </c>
    </row>
    <row r="37" spans="1:6" ht="15" thickBot="1">
      <c r="A37" s="4" t="s">
        <v>48</v>
      </c>
      <c r="B37" s="5">
        <v>45301</v>
      </c>
      <c r="C37" s="6">
        <v>5</v>
      </c>
      <c r="D37" s="4" t="s">
        <v>10</v>
      </c>
      <c r="E37" s="6">
        <v>36.299999999999997</v>
      </c>
      <c r="F37" s="4" t="s">
        <v>13</v>
      </c>
    </row>
    <row r="38" spans="1:6" ht="15" thickBot="1">
      <c r="A38" s="4" t="s">
        <v>49</v>
      </c>
      <c r="B38" s="5">
        <v>45296</v>
      </c>
      <c r="C38" s="6">
        <v>4</v>
      </c>
      <c r="D38" s="4" t="s">
        <v>30</v>
      </c>
      <c r="E38" s="6">
        <v>52.1</v>
      </c>
      <c r="F38" s="4" t="s">
        <v>13</v>
      </c>
    </row>
    <row r="39" spans="1:6" ht="15" thickBot="1">
      <c r="A39" s="4" t="s">
        <v>50</v>
      </c>
      <c r="B39" s="5">
        <v>45314</v>
      </c>
      <c r="C39" s="6">
        <v>5</v>
      </c>
      <c r="D39" s="4" t="s">
        <v>15</v>
      </c>
      <c r="E39" s="6">
        <v>8.6</v>
      </c>
      <c r="F39" s="4" t="s">
        <v>13</v>
      </c>
    </row>
    <row r="40" spans="1:6" ht="15" thickBot="1">
      <c r="A40" s="4" t="s">
        <v>51</v>
      </c>
      <c r="B40" s="5">
        <v>45301</v>
      </c>
      <c r="C40" s="6">
        <v>5</v>
      </c>
      <c r="D40" s="4" t="s">
        <v>15</v>
      </c>
      <c r="E40" s="6">
        <v>10.9</v>
      </c>
      <c r="F40" s="4" t="s">
        <v>8</v>
      </c>
    </row>
    <row r="41" spans="1:6" ht="15" thickBot="1">
      <c r="A41" s="4" t="s">
        <v>52</v>
      </c>
      <c r="B41" s="5">
        <v>45335</v>
      </c>
      <c r="C41" s="6">
        <v>5</v>
      </c>
      <c r="D41" s="4" t="s">
        <v>15</v>
      </c>
      <c r="E41" s="6">
        <v>19.7</v>
      </c>
      <c r="F41" s="4" t="s">
        <v>13</v>
      </c>
    </row>
    <row r="42" spans="1:6" ht="15" thickBot="1">
      <c r="A42" s="4" t="s">
        <v>53</v>
      </c>
      <c r="B42" s="5">
        <v>45293</v>
      </c>
      <c r="C42" s="6">
        <v>4</v>
      </c>
      <c r="D42" s="4" t="s">
        <v>30</v>
      </c>
      <c r="E42" s="6">
        <v>19.899999999999999</v>
      </c>
      <c r="F42" s="4" t="s">
        <v>13</v>
      </c>
    </row>
    <row r="43" spans="1:6" ht="15" thickBot="1">
      <c r="A43" s="4" t="s">
        <v>54</v>
      </c>
      <c r="B43" s="5">
        <v>45304</v>
      </c>
      <c r="C43" s="6">
        <v>4</v>
      </c>
      <c r="D43" s="4" t="s">
        <v>10</v>
      </c>
      <c r="E43" s="6">
        <v>53</v>
      </c>
      <c r="F43" s="4" t="s">
        <v>8</v>
      </c>
    </row>
    <row r="44" spans="1:6" ht="15" thickBot="1">
      <c r="A44" s="4" t="s">
        <v>55</v>
      </c>
      <c r="B44" s="5">
        <v>45331</v>
      </c>
      <c r="C44" s="6">
        <v>5</v>
      </c>
      <c r="D44" s="4" t="s">
        <v>30</v>
      </c>
      <c r="E44" s="6">
        <v>18.8</v>
      </c>
      <c r="F44" s="4" t="s">
        <v>13</v>
      </c>
    </row>
    <row r="45" spans="1:6" ht="15" thickBot="1">
      <c r="A45" s="4" t="s">
        <v>56</v>
      </c>
      <c r="B45" s="5">
        <v>45293</v>
      </c>
      <c r="C45" s="6">
        <v>2</v>
      </c>
      <c r="D45" s="4" t="s">
        <v>30</v>
      </c>
      <c r="E45" s="6">
        <v>45.9</v>
      </c>
      <c r="F45" s="4" t="s">
        <v>13</v>
      </c>
    </row>
    <row r="46" spans="1:6" ht="15" thickBot="1">
      <c r="A46" s="4" t="s">
        <v>57</v>
      </c>
      <c r="B46" s="5">
        <v>45375</v>
      </c>
      <c r="C46" s="6">
        <v>3</v>
      </c>
      <c r="D46" s="4" t="s">
        <v>15</v>
      </c>
      <c r="E46" s="6">
        <v>36.1</v>
      </c>
      <c r="F46" s="4" t="s">
        <v>13</v>
      </c>
    </row>
    <row r="47" spans="1:6" ht="15" thickBot="1">
      <c r="A47" s="4" t="s">
        <v>58</v>
      </c>
      <c r="B47" s="5">
        <v>45356</v>
      </c>
      <c r="C47" s="6">
        <v>3</v>
      </c>
      <c r="D47" s="4" t="s">
        <v>12</v>
      </c>
      <c r="E47" s="6">
        <v>41.7</v>
      </c>
      <c r="F47" s="4" t="s">
        <v>8</v>
      </c>
    </row>
    <row r="48" spans="1:6" ht="15" thickBot="1">
      <c r="A48" s="4" t="s">
        <v>59</v>
      </c>
      <c r="B48" s="5">
        <v>45354</v>
      </c>
      <c r="C48" s="6">
        <v>3</v>
      </c>
      <c r="D48" s="4" t="s">
        <v>10</v>
      </c>
      <c r="E48" s="6">
        <v>60.5</v>
      </c>
      <c r="F48" s="4" t="s">
        <v>13</v>
      </c>
    </row>
    <row r="49" spans="1:6" ht="15" thickBot="1">
      <c r="A49" s="4" t="s">
        <v>60</v>
      </c>
      <c r="B49" s="5">
        <v>45364</v>
      </c>
      <c r="C49" s="6">
        <v>4</v>
      </c>
      <c r="D49" s="4" t="s">
        <v>15</v>
      </c>
      <c r="E49" s="6">
        <v>29.7</v>
      </c>
      <c r="F49" s="4" t="s">
        <v>13</v>
      </c>
    </row>
    <row r="50" spans="1:6" ht="15" thickBot="1">
      <c r="A50" s="4" t="s">
        <v>61</v>
      </c>
      <c r="B50" s="5">
        <v>45308</v>
      </c>
      <c r="C50" s="6">
        <v>4</v>
      </c>
      <c r="D50" s="4" t="s">
        <v>12</v>
      </c>
      <c r="E50" s="6">
        <v>55.7</v>
      </c>
      <c r="F50" s="4" t="s">
        <v>13</v>
      </c>
    </row>
    <row r="51" spans="1:6" ht="15" thickBot="1">
      <c r="A51" s="4" t="s">
        <v>62</v>
      </c>
      <c r="B51" s="5">
        <v>45300</v>
      </c>
      <c r="C51" s="6">
        <v>2</v>
      </c>
      <c r="D51" s="4" t="s">
        <v>12</v>
      </c>
      <c r="E51" s="6">
        <v>31</v>
      </c>
      <c r="F51" s="4" t="s">
        <v>13</v>
      </c>
    </row>
    <row r="52" spans="1:6" ht="15" thickBot="1">
      <c r="A52" s="4" t="s">
        <v>63</v>
      </c>
      <c r="B52" s="5">
        <v>45366</v>
      </c>
      <c r="C52" s="6">
        <v>3</v>
      </c>
      <c r="D52" s="4" t="s">
        <v>7</v>
      </c>
      <c r="E52" s="6">
        <v>26.1</v>
      </c>
      <c r="F52" s="4" t="s">
        <v>13</v>
      </c>
    </row>
    <row r="53" spans="1:6" ht="15" thickBot="1">
      <c r="A53" s="4" t="s">
        <v>64</v>
      </c>
      <c r="B53" s="5">
        <v>45306</v>
      </c>
      <c r="C53" s="6">
        <v>3</v>
      </c>
      <c r="D53" s="4" t="s">
        <v>10</v>
      </c>
      <c r="E53" s="6">
        <v>69.099999999999994</v>
      </c>
      <c r="F53" s="4" t="s">
        <v>13</v>
      </c>
    </row>
    <row r="54" spans="1:6" ht="15" thickBot="1">
      <c r="A54" s="4" t="s">
        <v>65</v>
      </c>
      <c r="B54" s="5">
        <v>45315</v>
      </c>
      <c r="C54" s="6">
        <v>5</v>
      </c>
      <c r="D54" s="4" t="s">
        <v>12</v>
      </c>
      <c r="E54" s="6">
        <v>14.1</v>
      </c>
      <c r="F54" s="4" t="s">
        <v>13</v>
      </c>
    </row>
    <row r="55" spans="1:6" ht="15" thickBot="1">
      <c r="A55" s="4" t="s">
        <v>66</v>
      </c>
      <c r="B55" s="5">
        <v>45329</v>
      </c>
      <c r="C55" s="6">
        <v>4</v>
      </c>
      <c r="D55" s="4" t="s">
        <v>15</v>
      </c>
      <c r="E55" s="6">
        <v>7.4</v>
      </c>
      <c r="F55" s="4" t="s">
        <v>13</v>
      </c>
    </row>
    <row r="56" spans="1:6" ht="15" thickBot="1">
      <c r="A56" s="4" t="s">
        <v>67</v>
      </c>
      <c r="B56" s="5">
        <v>45326</v>
      </c>
      <c r="C56" s="6">
        <v>3</v>
      </c>
      <c r="D56" s="4" t="s">
        <v>7</v>
      </c>
      <c r="E56" s="6">
        <v>55.7</v>
      </c>
      <c r="F56" s="4" t="s">
        <v>13</v>
      </c>
    </row>
    <row r="57" spans="1:6" ht="15" thickBot="1">
      <c r="A57" s="4" t="s">
        <v>68</v>
      </c>
      <c r="B57" s="5">
        <v>45385</v>
      </c>
      <c r="C57" s="6">
        <v>2</v>
      </c>
      <c r="D57" s="4" t="s">
        <v>10</v>
      </c>
      <c r="E57" s="6">
        <v>5.8</v>
      </c>
      <c r="F57" s="4" t="s">
        <v>13</v>
      </c>
    </row>
    <row r="58" spans="1:6" ht="15" thickBot="1">
      <c r="A58" s="4" t="s">
        <v>69</v>
      </c>
      <c r="B58" s="5">
        <v>45386</v>
      </c>
      <c r="C58" s="6">
        <v>2</v>
      </c>
      <c r="D58" s="4" t="s">
        <v>30</v>
      </c>
      <c r="E58" s="6">
        <v>60.4</v>
      </c>
      <c r="F58" s="4" t="s">
        <v>13</v>
      </c>
    </row>
    <row r="59" spans="1:6" ht="15" thickBot="1">
      <c r="A59" s="4" t="s">
        <v>70</v>
      </c>
      <c r="B59" s="5">
        <v>45340</v>
      </c>
      <c r="C59" s="6">
        <v>3</v>
      </c>
      <c r="D59" s="4" t="s">
        <v>15</v>
      </c>
      <c r="E59" s="6">
        <v>32</v>
      </c>
      <c r="F59" s="4" t="s">
        <v>13</v>
      </c>
    </row>
    <row r="60" spans="1:6" ht="15" thickBot="1">
      <c r="A60" s="4" t="s">
        <v>71</v>
      </c>
      <c r="B60" s="5">
        <v>45360</v>
      </c>
      <c r="C60" s="6">
        <v>4</v>
      </c>
      <c r="D60" s="4" t="s">
        <v>12</v>
      </c>
      <c r="E60" s="6">
        <v>66</v>
      </c>
      <c r="F60" s="4" t="s">
        <v>13</v>
      </c>
    </row>
    <row r="61" spans="1:6" ht="15" thickBot="1">
      <c r="A61" s="4" t="s">
        <v>72</v>
      </c>
      <c r="B61" s="5">
        <v>45353</v>
      </c>
      <c r="C61" s="6">
        <v>2</v>
      </c>
      <c r="D61" s="4" t="s">
        <v>12</v>
      </c>
      <c r="E61" s="6">
        <v>52.2</v>
      </c>
      <c r="F61" s="4" t="s">
        <v>13</v>
      </c>
    </row>
    <row r="62" spans="1:6" ht="15" thickBot="1">
      <c r="A62" s="4" t="s">
        <v>73</v>
      </c>
      <c r="B62" s="5">
        <v>45351</v>
      </c>
      <c r="C62" s="6">
        <v>5</v>
      </c>
      <c r="D62" s="4" t="s">
        <v>15</v>
      </c>
      <c r="E62" s="6">
        <v>44.3</v>
      </c>
      <c r="F62" s="4" t="s">
        <v>13</v>
      </c>
    </row>
    <row r="63" spans="1:6" ht="15" thickBot="1">
      <c r="A63" s="4" t="s">
        <v>74</v>
      </c>
      <c r="B63" s="5">
        <v>45341</v>
      </c>
      <c r="C63" s="6">
        <v>2</v>
      </c>
      <c r="D63" s="4" t="s">
        <v>12</v>
      </c>
      <c r="E63" s="6">
        <v>68.400000000000006</v>
      </c>
      <c r="F63" s="4" t="s">
        <v>13</v>
      </c>
    </row>
    <row r="64" spans="1:6" ht="15" thickBot="1">
      <c r="A64" s="4" t="s">
        <v>75</v>
      </c>
      <c r="B64" s="5">
        <v>45369</v>
      </c>
      <c r="C64" s="6">
        <v>1</v>
      </c>
      <c r="D64" s="4" t="s">
        <v>7</v>
      </c>
      <c r="E64" s="6">
        <v>29.2</v>
      </c>
      <c r="F64" s="4" t="s">
        <v>8</v>
      </c>
    </row>
    <row r="65" spans="1:6" ht="15" thickBot="1">
      <c r="A65" s="4" t="s">
        <v>76</v>
      </c>
      <c r="B65" s="5">
        <v>45366</v>
      </c>
      <c r="C65" s="6">
        <v>1</v>
      </c>
      <c r="D65" s="4" t="s">
        <v>10</v>
      </c>
      <c r="E65" s="6">
        <v>68.7</v>
      </c>
      <c r="F65" s="4" t="s">
        <v>13</v>
      </c>
    </row>
    <row r="66" spans="1:6" ht="15" thickBot="1">
      <c r="A66" s="4" t="s">
        <v>77</v>
      </c>
      <c r="B66" s="5">
        <v>45300</v>
      </c>
      <c r="C66" s="6">
        <v>4</v>
      </c>
      <c r="D66" s="4" t="s">
        <v>7</v>
      </c>
      <c r="E66" s="6">
        <v>10.6</v>
      </c>
      <c r="F66" s="4" t="s">
        <v>13</v>
      </c>
    </row>
    <row r="67" spans="1:6" ht="15" thickBot="1">
      <c r="A67" s="4" t="s">
        <v>78</v>
      </c>
      <c r="B67" s="5">
        <v>45325</v>
      </c>
      <c r="C67" s="6">
        <v>3</v>
      </c>
      <c r="D67" s="4" t="s">
        <v>12</v>
      </c>
      <c r="E67" s="6">
        <v>35.299999999999997</v>
      </c>
      <c r="F67" s="4" t="s">
        <v>13</v>
      </c>
    </row>
    <row r="68" spans="1:6" ht="15" thickBot="1">
      <c r="A68" s="4" t="s">
        <v>79</v>
      </c>
      <c r="B68" s="5">
        <v>45367</v>
      </c>
      <c r="C68" s="6">
        <v>4</v>
      </c>
      <c r="D68" s="4" t="s">
        <v>30</v>
      </c>
      <c r="E68" s="6">
        <v>20.2</v>
      </c>
      <c r="F68" s="4" t="s">
        <v>8</v>
      </c>
    </row>
    <row r="69" spans="1:6" ht="15" thickBot="1">
      <c r="A69" s="4" t="s">
        <v>80</v>
      </c>
      <c r="B69" s="5">
        <v>45390</v>
      </c>
      <c r="C69" s="6">
        <v>4</v>
      </c>
      <c r="D69" s="4" t="s">
        <v>10</v>
      </c>
      <c r="E69" s="6">
        <v>39.299999999999997</v>
      </c>
      <c r="F69" s="4" t="s">
        <v>13</v>
      </c>
    </row>
    <row r="70" spans="1:6" ht="15" thickBot="1">
      <c r="A70" s="4" t="s">
        <v>81</v>
      </c>
      <c r="B70" s="5">
        <v>45326</v>
      </c>
      <c r="C70" s="6">
        <v>4</v>
      </c>
      <c r="D70" s="4" t="s">
        <v>10</v>
      </c>
      <c r="E70" s="6">
        <v>12.5</v>
      </c>
      <c r="F70" s="4" t="s">
        <v>13</v>
      </c>
    </row>
    <row r="71" spans="1:6" ht="15" thickBot="1">
      <c r="A71" s="4" t="s">
        <v>82</v>
      </c>
      <c r="B71" s="5">
        <v>45292</v>
      </c>
      <c r="C71" s="6">
        <v>4</v>
      </c>
      <c r="D71" s="4" t="s">
        <v>15</v>
      </c>
      <c r="E71" s="6">
        <v>60.7</v>
      </c>
      <c r="F71" s="4" t="s">
        <v>13</v>
      </c>
    </row>
    <row r="72" spans="1:6" ht="15" thickBot="1">
      <c r="A72" s="4" t="s">
        <v>83</v>
      </c>
      <c r="B72" s="5">
        <v>45331</v>
      </c>
      <c r="C72" s="6">
        <v>5</v>
      </c>
      <c r="D72" s="4" t="s">
        <v>15</v>
      </c>
      <c r="E72" s="6">
        <v>61.1</v>
      </c>
      <c r="F72" s="4" t="s">
        <v>13</v>
      </c>
    </row>
    <row r="73" spans="1:6" ht="15" thickBot="1">
      <c r="A73" s="4" t="s">
        <v>84</v>
      </c>
      <c r="B73" s="5">
        <v>45355</v>
      </c>
      <c r="C73" s="6">
        <v>5</v>
      </c>
      <c r="D73" s="4" t="s">
        <v>30</v>
      </c>
      <c r="E73" s="6">
        <v>68.8</v>
      </c>
      <c r="F73" s="4" t="s">
        <v>8</v>
      </c>
    </row>
    <row r="74" spans="1:6" ht="15" thickBot="1">
      <c r="A74" s="4" t="s">
        <v>85</v>
      </c>
      <c r="B74" s="5">
        <v>45313</v>
      </c>
      <c r="C74" s="6">
        <v>2</v>
      </c>
      <c r="D74" s="4" t="s">
        <v>10</v>
      </c>
      <c r="E74" s="6">
        <v>12</v>
      </c>
      <c r="F74" s="4" t="s">
        <v>13</v>
      </c>
    </row>
    <row r="75" spans="1:6" ht="15" thickBot="1">
      <c r="A75" s="4" t="s">
        <v>86</v>
      </c>
      <c r="B75" s="5">
        <v>45351</v>
      </c>
      <c r="C75" s="6">
        <v>1</v>
      </c>
      <c r="D75" s="4" t="s">
        <v>30</v>
      </c>
      <c r="E75" s="6">
        <v>45.3</v>
      </c>
      <c r="F75" s="4" t="s">
        <v>13</v>
      </c>
    </row>
    <row r="76" spans="1:6" ht="15" thickBot="1">
      <c r="A76" s="4" t="s">
        <v>87</v>
      </c>
      <c r="B76" s="5">
        <v>45355</v>
      </c>
      <c r="C76" s="6">
        <v>4</v>
      </c>
      <c r="D76" s="4" t="s">
        <v>15</v>
      </c>
      <c r="E76" s="6">
        <v>34.700000000000003</v>
      </c>
      <c r="F76" s="4" t="s">
        <v>13</v>
      </c>
    </row>
    <row r="77" spans="1:6" ht="15" thickBot="1">
      <c r="A77" s="4" t="s">
        <v>88</v>
      </c>
      <c r="B77" s="5">
        <v>45384</v>
      </c>
      <c r="C77" s="6">
        <v>2</v>
      </c>
      <c r="D77" s="4" t="s">
        <v>15</v>
      </c>
      <c r="E77" s="6">
        <v>25.5</v>
      </c>
      <c r="F77" s="4" t="s">
        <v>8</v>
      </c>
    </row>
    <row r="78" spans="1:6" ht="15" thickBot="1">
      <c r="A78" s="4" t="s">
        <v>89</v>
      </c>
      <c r="B78" s="5">
        <v>45363</v>
      </c>
      <c r="C78" s="6">
        <v>1</v>
      </c>
      <c r="D78" s="4" t="s">
        <v>10</v>
      </c>
      <c r="E78" s="6">
        <v>26</v>
      </c>
      <c r="F78" s="4" t="s">
        <v>8</v>
      </c>
    </row>
    <row r="79" spans="1:6" ht="15" thickBot="1">
      <c r="A79" s="4" t="s">
        <v>90</v>
      </c>
      <c r="B79" s="5">
        <v>45302</v>
      </c>
      <c r="C79" s="6">
        <v>3</v>
      </c>
      <c r="D79" s="4" t="s">
        <v>7</v>
      </c>
      <c r="E79" s="6">
        <v>30.3</v>
      </c>
      <c r="F79" s="4" t="s">
        <v>13</v>
      </c>
    </row>
    <row r="80" spans="1:6" ht="15" thickBot="1">
      <c r="A80" s="4" t="s">
        <v>91</v>
      </c>
      <c r="B80" s="5">
        <v>45305</v>
      </c>
      <c r="C80" s="6">
        <v>5</v>
      </c>
      <c r="D80" s="4" t="s">
        <v>12</v>
      </c>
      <c r="E80" s="6">
        <v>51</v>
      </c>
      <c r="F80" s="4" t="s">
        <v>8</v>
      </c>
    </row>
    <row r="81" spans="1:6" ht="15" thickBot="1">
      <c r="A81" s="4" t="s">
        <v>92</v>
      </c>
      <c r="B81" s="5">
        <v>45351</v>
      </c>
      <c r="C81" s="6">
        <v>1</v>
      </c>
      <c r="D81" s="4" t="s">
        <v>15</v>
      </c>
      <c r="E81" s="6">
        <v>43.5</v>
      </c>
      <c r="F81" s="4" t="s">
        <v>8</v>
      </c>
    </row>
    <row r="82" spans="1:6" ht="15" thickBot="1">
      <c r="A82" s="4" t="s">
        <v>93</v>
      </c>
      <c r="B82" s="5">
        <v>45321</v>
      </c>
      <c r="C82" s="6">
        <v>3</v>
      </c>
      <c r="D82" s="4" t="s">
        <v>15</v>
      </c>
      <c r="E82" s="6">
        <v>33.6</v>
      </c>
      <c r="F82" s="4" t="s">
        <v>13</v>
      </c>
    </row>
    <row r="83" spans="1:6" ht="15" thickBot="1">
      <c r="A83" s="4" t="s">
        <v>94</v>
      </c>
      <c r="B83" s="5">
        <v>45326</v>
      </c>
      <c r="C83" s="6">
        <v>1</v>
      </c>
      <c r="D83" s="4" t="s">
        <v>7</v>
      </c>
      <c r="E83" s="6">
        <v>6.4</v>
      </c>
      <c r="F83" s="4" t="s">
        <v>13</v>
      </c>
    </row>
    <row r="84" spans="1:6" ht="15" thickBot="1">
      <c r="A84" s="4" t="s">
        <v>95</v>
      </c>
      <c r="B84" s="5">
        <v>45376</v>
      </c>
      <c r="C84" s="6">
        <v>5</v>
      </c>
      <c r="D84" s="4" t="s">
        <v>7</v>
      </c>
      <c r="E84" s="6">
        <v>6.5</v>
      </c>
      <c r="F84" s="4" t="s">
        <v>13</v>
      </c>
    </row>
    <row r="85" spans="1:6" ht="15" thickBot="1">
      <c r="A85" s="4" t="s">
        <v>96</v>
      </c>
      <c r="B85" s="5">
        <v>45328</v>
      </c>
      <c r="C85" s="6">
        <v>5</v>
      </c>
      <c r="D85" s="4" t="s">
        <v>30</v>
      </c>
      <c r="E85" s="6">
        <v>1.2</v>
      </c>
      <c r="F85" s="4" t="s">
        <v>8</v>
      </c>
    </row>
    <row r="86" spans="1:6" ht="15" thickBot="1">
      <c r="A86" s="4" t="s">
        <v>97</v>
      </c>
      <c r="B86" s="5">
        <v>45296</v>
      </c>
      <c r="C86" s="6">
        <v>2</v>
      </c>
      <c r="D86" s="4" t="s">
        <v>30</v>
      </c>
      <c r="E86" s="6">
        <v>69.7</v>
      </c>
      <c r="F86" s="4" t="s">
        <v>13</v>
      </c>
    </row>
    <row r="87" spans="1:6" ht="15" thickBot="1">
      <c r="A87" s="4" t="s">
        <v>98</v>
      </c>
      <c r="B87" s="5">
        <v>45374</v>
      </c>
      <c r="C87" s="6">
        <v>4</v>
      </c>
      <c r="D87" s="4" t="s">
        <v>12</v>
      </c>
      <c r="E87" s="6">
        <v>1.4</v>
      </c>
      <c r="F87" s="4" t="s">
        <v>8</v>
      </c>
    </row>
    <row r="88" spans="1:6" ht="15" thickBot="1">
      <c r="A88" s="4" t="s">
        <v>99</v>
      </c>
      <c r="B88" s="5">
        <v>45369</v>
      </c>
      <c r="C88" s="6">
        <v>1</v>
      </c>
      <c r="D88" s="4" t="s">
        <v>12</v>
      </c>
      <c r="E88" s="6">
        <v>8.3000000000000007</v>
      </c>
      <c r="F88" s="4" t="s">
        <v>13</v>
      </c>
    </row>
    <row r="89" spans="1:6" ht="15" thickBot="1">
      <c r="A89" s="4" t="s">
        <v>100</v>
      </c>
      <c r="B89" s="5">
        <v>45317</v>
      </c>
      <c r="C89" s="6">
        <v>1</v>
      </c>
      <c r="D89" s="4" t="s">
        <v>10</v>
      </c>
      <c r="E89" s="6">
        <v>23.3</v>
      </c>
      <c r="F89" s="4" t="s">
        <v>13</v>
      </c>
    </row>
    <row r="90" spans="1:6" ht="15" thickBot="1">
      <c r="A90" s="4" t="s">
        <v>101</v>
      </c>
      <c r="B90" s="5">
        <v>45353</v>
      </c>
      <c r="C90" s="6">
        <v>3</v>
      </c>
      <c r="D90" s="4" t="s">
        <v>30</v>
      </c>
      <c r="E90" s="6">
        <v>58.3</v>
      </c>
      <c r="F90" s="4" t="s">
        <v>13</v>
      </c>
    </row>
    <row r="91" spans="1:6" ht="15" thickBot="1">
      <c r="A91" s="4" t="s">
        <v>102</v>
      </c>
      <c r="B91" s="5">
        <v>45295</v>
      </c>
      <c r="C91" s="6">
        <v>5</v>
      </c>
      <c r="D91" s="4" t="s">
        <v>15</v>
      </c>
      <c r="E91" s="6">
        <v>69.3</v>
      </c>
      <c r="F91" s="4" t="s">
        <v>13</v>
      </c>
    </row>
    <row r="92" spans="1:6" ht="15" thickBot="1">
      <c r="A92" s="4" t="s">
        <v>103</v>
      </c>
      <c r="B92" s="5">
        <v>45380</v>
      </c>
      <c r="C92" s="6">
        <v>1</v>
      </c>
      <c r="D92" s="4" t="s">
        <v>30</v>
      </c>
      <c r="E92" s="6">
        <v>57.1</v>
      </c>
      <c r="F92" s="4" t="s">
        <v>8</v>
      </c>
    </row>
    <row r="93" spans="1:6" ht="15" thickBot="1">
      <c r="A93" s="4" t="s">
        <v>104</v>
      </c>
      <c r="B93" s="5">
        <v>45333</v>
      </c>
      <c r="C93" s="6">
        <v>5</v>
      </c>
      <c r="D93" s="4" t="s">
        <v>15</v>
      </c>
      <c r="E93" s="6">
        <v>50</v>
      </c>
      <c r="F93" s="4" t="s">
        <v>8</v>
      </c>
    </row>
    <row r="94" spans="1:6" ht="15" thickBot="1">
      <c r="A94" s="4" t="s">
        <v>105</v>
      </c>
      <c r="B94" s="5">
        <v>45380</v>
      </c>
      <c r="C94" s="6">
        <v>1</v>
      </c>
      <c r="D94" s="4" t="s">
        <v>7</v>
      </c>
      <c r="E94" s="6">
        <v>38</v>
      </c>
      <c r="F94" s="4" t="s">
        <v>8</v>
      </c>
    </row>
    <row r="95" spans="1:6" ht="15" thickBot="1">
      <c r="A95" s="4" t="s">
        <v>106</v>
      </c>
      <c r="B95" s="5">
        <v>45309</v>
      </c>
      <c r="C95" s="6">
        <v>2</v>
      </c>
      <c r="D95" s="4" t="s">
        <v>30</v>
      </c>
      <c r="E95" s="6">
        <v>7.2</v>
      </c>
      <c r="F95" s="4" t="s">
        <v>13</v>
      </c>
    </row>
    <row r="96" spans="1:6" ht="15" thickBot="1">
      <c r="A96" s="4" t="s">
        <v>107</v>
      </c>
      <c r="B96" s="5">
        <v>45331</v>
      </c>
      <c r="C96" s="6">
        <v>4</v>
      </c>
      <c r="D96" s="4" t="s">
        <v>7</v>
      </c>
      <c r="E96" s="6">
        <v>69</v>
      </c>
      <c r="F96" s="4" t="s">
        <v>13</v>
      </c>
    </row>
    <row r="97" spans="1:6" ht="15" thickBot="1">
      <c r="A97" s="4" t="s">
        <v>108</v>
      </c>
      <c r="B97" s="5">
        <v>45363</v>
      </c>
      <c r="C97" s="6">
        <v>1</v>
      </c>
      <c r="D97" s="4" t="s">
        <v>12</v>
      </c>
      <c r="E97" s="6">
        <v>54.8</v>
      </c>
      <c r="F97" s="4" t="s">
        <v>13</v>
      </c>
    </row>
    <row r="98" spans="1:6" ht="15" thickBot="1">
      <c r="A98" s="4" t="s">
        <v>109</v>
      </c>
      <c r="B98" s="5">
        <v>45330</v>
      </c>
      <c r="C98" s="6">
        <v>5</v>
      </c>
      <c r="D98" s="4" t="s">
        <v>12</v>
      </c>
      <c r="E98" s="6">
        <v>46.4</v>
      </c>
      <c r="F98" s="4" t="s">
        <v>13</v>
      </c>
    </row>
    <row r="99" spans="1:6" ht="15" thickBot="1">
      <c r="A99" s="4" t="s">
        <v>110</v>
      </c>
      <c r="B99" s="5">
        <v>45305</v>
      </c>
      <c r="C99" s="6">
        <v>2</v>
      </c>
      <c r="D99" s="4" t="s">
        <v>10</v>
      </c>
      <c r="E99" s="6">
        <v>54.9</v>
      </c>
      <c r="F99" s="4" t="s">
        <v>13</v>
      </c>
    </row>
    <row r="100" spans="1:6" ht="15" thickBot="1">
      <c r="A100" s="4" t="s">
        <v>111</v>
      </c>
      <c r="B100" s="5">
        <v>45323</v>
      </c>
      <c r="C100" s="6">
        <v>1</v>
      </c>
      <c r="D100" s="4" t="s">
        <v>30</v>
      </c>
      <c r="E100" s="6">
        <v>52.4</v>
      </c>
      <c r="F100" s="4" t="s">
        <v>13</v>
      </c>
    </row>
    <row r="101" spans="1:6" ht="15" thickBot="1">
      <c r="A101" s="4" t="s">
        <v>112</v>
      </c>
      <c r="B101" s="5">
        <v>45342</v>
      </c>
      <c r="C101" s="6">
        <v>3</v>
      </c>
      <c r="D101" s="4" t="s">
        <v>7</v>
      </c>
      <c r="E101" s="6">
        <v>46.2</v>
      </c>
      <c r="F101" s="4" t="s">
        <v>13</v>
      </c>
    </row>
  </sheetData>
  <conditionalFormatting sqref="C2:C101">
    <cfRule type="colorScale" priority="1">
      <colorScale>
        <cfvo type="num" val="1"/>
        <cfvo type="num" val="5"/>
        <color rgb="FFFF0000"/>
        <color rgb="FF00B050"/>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2</vt:lpstr>
      <vt:lpstr>3</vt:lpstr>
      <vt:lpstr>4-A</vt:lpstr>
      <vt:lpstr>5-B</vt:lpstr>
      <vt:lpstr>5-C</vt:lpstr>
      <vt:lpstr>6-A</vt:lpstr>
      <vt:lpstr>6-B</vt:lpstr>
      <vt:lpstr>6-C</vt:lpstr>
      <vt:lpstr>7-A</vt:lpstr>
      <vt:lpstr>7-B</vt:lpstr>
      <vt:lpstr>7--b</vt:lpstr>
      <vt:lpstr>8-A</vt:lpstr>
      <vt:lpstr>8-B</vt:lpstr>
      <vt:lpstr>8-C</vt:lpstr>
      <vt:lpstr>9-A</vt:lpstr>
      <vt:lpstr>9-B</vt:lpstr>
      <vt:lpstr>9-C</vt:lpstr>
      <vt:lpstr>10</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Ajmal Safeer</dc:creator>
  <cp:lastModifiedBy>user</cp:lastModifiedBy>
  <dcterms:created xsi:type="dcterms:W3CDTF">2026-06-10T16:17:14Z</dcterms:created>
  <dcterms:modified xsi:type="dcterms:W3CDTF">2026-09-24T00:32:16Z</dcterms:modified>
</cp:coreProperties>
</file>